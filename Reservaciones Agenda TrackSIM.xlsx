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Unidades compartidas\LANDER\"/>
    </mc:Choice>
  </mc:AlternateContent>
  <xr:revisionPtr revIDLastSave="0" documentId="13_ncr:1_{DF759889-A848-47E9-BE24-4F2D7B405E17}" xr6:coauthVersionLast="47" xr6:coauthVersionMax="47" xr10:uidLastSave="{00000000-0000-0000-0000-000000000000}"/>
  <bookViews>
    <workbookView xWindow="-108" yWindow="-108" windowWidth="23256" windowHeight="12456" xr2:uid="{06060D1B-8931-49AC-A8EE-7D9DE2434D5F}"/>
  </bookViews>
  <sheets>
    <sheet name="Reservas" sheetId="1" r:id="rId1"/>
    <sheet name="Directorio" sheetId="2" r:id="rId2"/>
  </sheets>
  <calcPr calcId="191029"/>
</workbook>
</file>

<file path=xl/calcChain.xml><?xml version="1.0" encoding="utf-8"?>
<calcChain xmlns="http://schemas.openxmlformats.org/spreadsheetml/2006/main">
  <c r="E107" i="1" l="1"/>
  <c r="F107" i="1"/>
  <c r="G107" i="1"/>
  <c r="A56" i="2"/>
  <c r="A55" i="2"/>
  <c r="A54" i="2"/>
  <c r="A51" i="2"/>
  <c r="A24" i="2"/>
  <c r="A40" i="2"/>
  <c r="A3" i="2"/>
  <c r="A48" i="2"/>
  <c r="A9" i="2"/>
  <c r="A29" i="2"/>
  <c r="A34" i="2"/>
  <c r="A10" i="2"/>
  <c r="A4" i="2"/>
  <c r="A2" i="2"/>
  <c r="A27" i="2"/>
  <c r="A8" i="2"/>
  <c r="A45" i="2"/>
  <c r="A12" i="2"/>
  <c r="A42" i="2"/>
  <c r="A14" i="2"/>
  <c r="A31" i="2"/>
  <c r="A5" i="2"/>
  <c r="A28" i="2"/>
  <c r="A11" i="2"/>
  <c r="A43" i="2"/>
  <c r="A17" i="2"/>
  <c r="A30" i="2"/>
  <c r="A21" i="2"/>
  <c r="A22" i="2"/>
  <c r="A13" i="2"/>
  <c r="A26" i="2"/>
  <c r="A44" i="2"/>
  <c r="A35" i="2"/>
  <c r="A33" i="2"/>
  <c r="A19" i="2"/>
  <c r="A52" i="2"/>
  <c r="A18" i="2"/>
  <c r="A36" i="2"/>
  <c r="A38" i="2"/>
  <c r="A20" i="2"/>
  <c r="A16" i="2"/>
  <c r="A46" i="2"/>
  <c r="A47" i="2"/>
  <c r="A53" i="2"/>
  <c r="A23" i="2"/>
  <c r="A15" i="2"/>
  <c r="A49" i="2"/>
  <c r="A7" i="2"/>
  <c r="A6" i="2"/>
  <c r="A50" i="2"/>
  <c r="A41" i="2"/>
  <c r="A39" i="2"/>
  <c r="A32" i="2"/>
  <c r="A37" i="2"/>
  <c r="A25" i="2"/>
  <c r="G105" i="1" l="1"/>
  <c r="E105" i="1"/>
  <c r="F105" i="1"/>
  <c r="E104" i="1"/>
  <c r="G106" i="1"/>
  <c r="F106" i="1"/>
  <c r="E96" i="1"/>
  <c r="E106" i="1"/>
  <c r="G96" i="1"/>
  <c r="F96" i="1"/>
  <c r="G104" i="1"/>
  <c r="F104" i="1"/>
  <c r="F97" i="1"/>
  <c r="F102" i="1"/>
  <c r="G18" i="1"/>
  <c r="E102" i="1"/>
  <c r="F18" i="1"/>
  <c r="G99" i="1"/>
  <c r="G102" i="1"/>
  <c r="E18" i="1"/>
  <c r="F99" i="1"/>
  <c r="G97" i="1"/>
  <c r="E99" i="1"/>
  <c r="G100" i="1"/>
  <c r="E97" i="1"/>
  <c r="F100" i="1"/>
  <c r="E100" i="1"/>
  <c r="E95" i="1"/>
  <c r="E101" i="1"/>
  <c r="G94" i="1"/>
  <c r="G103" i="1"/>
  <c r="F94" i="1"/>
  <c r="F103" i="1"/>
  <c r="E103" i="1"/>
  <c r="G98" i="1"/>
  <c r="F98" i="1"/>
  <c r="E94" i="1"/>
  <c r="E98" i="1"/>
  <c r="G95" i="1"/>
  <c r="G101" i="1"/>
  <c r="F95" i="1"/>
  <c r="F101" i="1"/>
  <c r="G93" i="1"/>
  <c r="F93" i="1"/>
  <c r="E93" i="1"/>
  <c r="G3" i="1"/>
  <c r="F53" i="1"/>
  <c r="F45" i="1"/>
  <c r="F37" i="1"/>
  <c r="F29" i="1"/>
  <c r="F21" i="1"/>
  <c r="F12" i="1"/>
  <c r="F5" i="1"/>
  <c r="G89" i="1"/>
  <c r="G81" i="1"/>
  <c r="G73" i="1"/>
  <c r="G65" i="1"/>
  <c r="G57" i="1"/>
  <c r="G49" i="1"/>
  <c r="G41" i="1"/>
  <c r="G33" i="1"/>
  <c r="G25" i="1"/>
  <c r="G16" i="1"/>
  <c r="F52" i="1"/>
  <c r="F44" i="1"/>
  <c r="F36" i="1"/>
  <c r="F28" i="1"/>
  <c r="F20" i="1"/>
  <c r="F11" i="1"/>
  <c r="F4" i="1"/>
  <c r="G88" i="1"/>
  <c r="G80" i="1"/>
  <c r="G72" i="1"/>
  <c r="G64" i="1"/>
  <c r="G56" i="1"/>
  <c r="G48" i="1"/>
  <c r="G40" i="1"/>
  <c r="G32" i="1"/>
  <c r="G24" i="1"/>
  <c r="G15" i="1"/>
  <c r="G8" i="1"/>
  <c r="F69" i="1"/>
  <c r="F60" i="1"/>
  <c r="F91" i="1"/>
  <c r="F83" i="1"/>
  <c r="F75" i="1"/>
  <c r="F67" i="1"/>
  <c r="F59" i="1"/>
  <c r="F51" i="1"/>
  <c r="F43" i="1"/>
  <c r="F35" i="1"/>
  <c r="F27" i="1"/>
  <c r="F19" i="1"/>
  <c r="F10" i="1"/>
  <c r="F3" i="1"/>
  <c r="G87" i="1"/>
  <c r="G79" i="1"/>
  <c r="G71" i="1"/>
  <c r="G63" i="1"/>
  <c r="G55" i="1"/>
  <c r="G47" i="1"/>
  <c r="G39" i="1"/>
  <c r="G31" i="1"/>
  <c r="G23" i="1"/>
  <c r="G14" i="1"/>
  <c r="G7" i="1"/>
  <c r="F85" i="1"/>
  <c r="F82" i="1"/>
  <c r="F42" i="1"/>
  <c r="F34" i="1"/>
  <c r="F26" i="1"/>
  <c r="F17" i="1"/>
  <c r="F9" i="1"/>
  <c r="F2" i="1"/>
  <c r="G86" i="1"/>
  <c r="G78" i="1"/>
  <c r="G70" i="1"/>
  <c r="G62" i="1"/>
  <c r="G54" i="1"/>
  <c r="G46" i="1"/>
  <c r="G38" i="1"/>
  <c r="G30" i="1"/>
  <c r="G22" i="1"/>
  <c r="G13" i="1"/>
  <c r="G6" i="1"/>
  <c r="F84" i="1"/>
  <c r="F66" i="1"/>
  <c r="F89" i="1"/>
  <c r="F81" i="1"/>
  <c r="F73" i="1"/>
  <c r="F65" i="1"/>
  <c r="F57" i="1"/>
  <c r="F49" i="1"/>
  <c r="F41" i="1"/>
  <c r="F33" i="1"/>
  <c r="F25" i="1"/>
  <c r="F16" i="1"/>
  <c r="G85" i="1"/>
  <c r="G77" i="1"/>
  <c r="G69" i="1"/>
  <c r="G61" i="1"/>
  <c r="G53" i="1"/>
  <c r="G45" i="1"/>
  <c r="G37" i="1"/>
  <c r="G29" i="1"/>
  <c r="G21" i="1"/>
  <c r="G12" i="1"/>
  <c r="G5" i="1"/>
  <c r="F77" i="1"/>
  <c r="F92" i="1"/>
  <c r="F58" i="1"/>
  <c r="F88" i="1"/>
  <c r="F80" i="1"/>
  <c r="F72" i="1"/>
  <c r="F64" i="1"/>
  <c r="F56" i="1"/>
  <c r="F48" i="1"/>
  <c r="F40" i="1"/>
  <c r="F32" i="1"/>
  <c r="F24" i="1"/>
  <c r="F15" i="1"/>
  <c r="F8" i="1"/>
  <c r="G92" i="1"/>
  <c r="G84" i="1"/>
  <c r="G76" i="1"/>
  <c r="G68" i="1"/>
  <c r="G60" i="1"/>
  <c r="G52" i="1"/>
  <c r="G44" i="1"/>
  <c r="G36" i="1"/>
  <c r="G28" i="1"/>
  <c r="G20" i="1"/>
  <c r="G11" i="1"/>
  <c r="G4" i="1"/>
  <c r="F76" i="1"/>
  <c r="F90" i="1"/>
  <c r="F50" i="1"/>
  <c r="E65" i="1"/>
  <c r="F87" i="1"/>
  <c r="F79" i="1"/>
  <c r="F71" i="1"/>
  <c r="F63" i="1"/>
  <c r="F55" i="1"/>
  <c r="F47" i="1"/>
  <c r="F39" i="1"/>
  <c r="F31" i="1"/>
  <c r="F23" i="1"/>
  <c r="F14" i="1"/>
  <c r="F7" i="1"/>
  <c r="G91" i="1"/>
  <c r="G83" i="1"/>
  <c r="G75" i="1"/>
  <c r="G67" i="1"/>
  <c r="G59" i="1"/>
  <c r="G51" i="1"/>
  <c r="G43" i="1"/>
  <c r="G35" i="1"/>
  <c r="G27" i="1"/>
  <c r="G19" i="1"/>
  <c r="G10" i="1"/>
  <c r="G2" i="1"/>
  <c r="F61" i="1"/>
  <c r="F68" i="1"/>
  <c r="E33" i="1"/>
  <c r="F74" i="1"/>
  <c r="E2" i="1"/>
  <c r="F86" i="1"/>
  <c r="F78" i="1"/>
  <c r="F70" i="1"/>
  <c r="F62" i="1"/>
  <c r="F54" i="1"/>
  <c r="F46" i="1"/>
  <c r="F38" i="1"/>
  <c r="F30" i="1"/>
  <c r="F22" i="1"/>
  <c r="F13" i="1"/>
  <c r="F6" i="1"/>
  <c r="G90" i="1"/>
  <c r="G82" i="1"/>
  <c r="G74" i="1"/>
  <c r="G66" i="1"/>
  <c r="G58" i="1"/>
  <c r="G50" i="1"/>
  <c r="G42" i="1"/>
  <c r="G34" i="1"/>
  <c r="G26" i="1"/>
  <c r="G17" i="1"/>
  <c r="G9" i="1"/>
  <c r="E81" i="1"/>
  <c r="E41" i="1"/>
  <c r="E16" i="1"/>
  <c r="E89" i="1"/>
  <c r="E25" i="1"/>
  <c r="E88" i="1"/>
  <c r="E80" i="1"/>
  <c r="E72" i="1"/>
  <c r="E64" i="1"/>
  <c r="E56" i="1"/>
  <c r="E48" i="1"/>
  <c r="E40" i="1"/>
  <c r="E32" i="1"/>
  <c r="E24" i="1"/>
  <c r="E15" i="1"/>
  <c r="E8" i="1"/>
  <c r="E87" i="1"/>
  <c r="E79" i="1"/>
  <c r="E71" i="1"/>
  <c r="E63" i="1"/>
  <c r="E55" i="1"/>
  <c r="E47" i="1"/>
  <c r="E39" i="1"/>
  <c r="E31" i="1"/>
  <c r="E23" i="1"/>
  <c r="E14" i="1"/>
  <c r="E7" i="1"/>
  <c r="E86" i="1"/>
  <c r="E78" i="1"/>
  <c r="E70" i="1"/>
  <c r="E62" i="1"/>
  <c r="E54" i="1"/>
  <c r="E46" i="1"/>
  <c r="E38" i="1"/>
  <c r="E30" i="1"/>
  <c r="E22" i="1"/>
  <c r="E13" i="1"/>
  <c r="E6" i="1"/>
  <c r="E57" i="1"/>
  <c r="E85" i="1"/>
  <c r="E77" i="1"/>
  <c r="E69" i="1"/>
  <c r="E61" i="1"/>
  <c r="E53" i="1"/>
  <c r="E45" i="1"/>
  <c r="E37" i="1"/>
  <c r="E29" i="1"/>
  <c r="E21" i="1"/>
  <c r="E12" i="1"/>
  <c r="E5" i="1"/>
  <c r="E73" i="1"/>
  <c r="E92" i="1"/>
  <c r="E84" i="1"/>
  <c r="E76" i="1"/>
  <c r="E68" i="1"/>
  <c r="E60" i="1"/>
  <c r="E52" i="1"/>
  <c r="E44" i="1"/>
  <c r="E36" i="1"/>
  <c r="E28" i="1"/>
  <c r="E20" i="1"/>
  <c r="E11" i="1"/>
  <c r="E4" i="1"/>
  <c r="E49" i="1"/>
  <c r="E91" i="1"/>
  <c r="E83" i="1"/>
  <c r="E75" i="1"/>
  <c r="E67" i="1"/>
  <c r="E59" i="1"/>
  <c r="E51" i="1"/>
  <c r="E43" i="1"/>
  <c r="E35" i="1"/>
  <c r="E27" i="1"/>
  <c r="E19" i="1"/>
  <c r="E10" i="1"/>
  <c r="E3" i="1"/>
  <c r="E90" i="1"/>
  <c r="E82" i="1"/>
  <c r="E74" i="1"/>
  <c r="E66" i="1"/>
  <c r="E58" i="1"/>
  <c r="E50" i="1"/>
  <c r="E42" i="1"/>
  <c r="E34" i="1"/>
  <c r="E26" i="1"/>
  <c r="E17" i="1"/>
  <c r="E9" i="1"/>
</calcChain>
</file>

<file path=xl/sharedStrings.xml><?xml version="1.0" encoding="utf-8"?>
<sst xmlns="http://schemas.openxmlformats.org/spreadsheetml/2006/main" count="408" uniqueCount="119">
  <si>
    <t>Almex</t>
  </si>
  <si>
    <t>Monterrey</t>
  </si>
  <si>
    <t>esquina con Luis, Calle Vicente Guerrero, Av. Don Luis G. Sada 3530, Del Nte., 64500 Monterrey, N.L.</t>
  </si>
  <si>
    <t>Sigma</t>
  </si>
  <si>
    <t>NL 181, 66673 N.L.</t>
  </si>
  <si>
    <t>Arca Continental</t>
  </si>
  <si>
    <t>C. del Río 3011, Riberas del Río, 67160 Guadalupe, N.L.</t>
  </si>
  <si>
    <t>Grupo Modelo</t>
  </si>
  <si>
    <t>San Luis Potosí</t>
  </si>
  <si>
    <t>De La Libertad, Ejido de la Libertad, 78394 Pozos, S.L.P.</t>
  </si>
  <si>
    <t>Guardia Nacional</t>
  </si>
  <si>
    <t>Av. Anillo Perif. Nte. 3005, El Saucito, 78110 San Luis Potosí, S.L.P.</t>
  </si>
  <si>
    <t>Guadalajara</t>
  </si>
  <si>
    <t>Industrial Park, San Martin Al Verde 520-Nave 12, Colonia, 45620 Guadalajara, Jal.</t>
  </si>
  <si>
    <t>Carretera Federal 57, P.º de la República No. 7501 Km. 187, Ejido Arroyos, 78395 San Luis Potosí</t>
  </si>
  <si>
    <t>C. Hércules, Jardines del Bosque, 44190 Guadalajara, Jal.</t>
  </si>
  <si>
    <t>Pilot</t>
  </si>
  <si>
    <t>Anillo Perif. Sur Manuel Gómez Morín, La Piedrera, 45580 San Pedro Tlaquepaque, Jal.</t>
  </si>
  <si>
    <t>Bimbo</t>
  </si>
  <si>
    <t>Anillo Perif. Sur Manuel Gómez Morín 5890, Artesanos, 45598 San Pedro Tlaquepaque, Jal.</t>
  </si>
  <si>
    <t>Paquetexpress</t>
  </si>
  <si>
    <t>Anillo Periférico Sur Esquina, Av. Adolf Bernard Horn Junior Núm. 6372, 45598 San Pedro Tlaquepaque, Jal.</t>
  </si>
  <si>
    <t>Cemex</t>
  </si>
  <si>
    <t>Av. Patria 269, El Manantial, 44470 Guadalajara, Jal.</t>
  </si>
  <si>
    <t>Tepotzotlán</t>
  </si>
  <si>
    <t>Fraccion B, Fraccion I, Bodega 12-A San Jose la Teja, 54607 Tepotzotlán, Méx.</t>
  </si>
  <si>
    <t>Iztapalapa</t>
  </si>
  <si>
    <t>Av. Michoacán 64, Guadalupe del Moral, Iztapalapa, 09300 Ciudad de México, CDMX</t>
  </si>
  <si>
    <t>Azcapotzalco</t>
  </si>
  <si>
    <t>Av San Pablo Xalpa 520, San Martin Xochinahuac, Azcapotzalco, 02120 Ciudad de México, CDMX</t>
  </si>
  <si>
    <t>PepsiCo</t>
  </si>
  <si>
    <t>Calz. de los Angeles 185A, San Martin Xochinahuac, Azcapotzalco, 02120 Ciudad de México, CDMX</t>
  </si>
  <si>
    <t>Tlalnepantla</t>
  </si>
  <si>
    <t>Vía Gustavo Baz No. 4500, Industrial Barrientos, 54110 Tlalnepantla, Méx.</t>
  </si>
  <si>
    <t>Ecatepec</t>
  </si>
  <si>
    <t>FJC</t>
  </si>
  <si>
    <t>Carlos B. Zetina 401, Industrial Xalostoc, 55348 Ecatepec de Morelos, Méx.</t>
  </si>
  <si>
    <t>FNTM</t>
  </si>
  <si>
    <t>Playa del Carmen</t>
  </si>
  <si>
    <t>5 Av. Nte., 77728 Playa del Carmen, Q.R.</t>
  </si>
  <si>
    <t>Cancún</t>
  </si>
  <si>
    <t>77689 San Miguel de Cozumel, Q.R.</t>
  </si>
  <si>
    <t>Avenida López Portillo Manzana 50, Supermanzana 98, 77537 Benito Juárez, Q.R.</t>
  </si>
  <si>
    <t>Mérida</t>
  </si>
  <si>
    <t>Itzincab,, C. 31 Diag. 432-452, Paseos de Itzincab, 97392 Itzincab, Yuc.</t>
  </si>
  <si>
    <t>HESA</t>
  </si>
  <si>
    <t>Orizaba</t>
  </si>
  <si>
    <t>Estafeta</t>
  </si>
  <si>
    <t>Querétaro</t>
  </si>
  <si>
    <t>Carretera QRO-SLP # 16368, Conjunto Ind. Luxar Bodega 20 a 25, 76220 Santa Rosa Jáuregui, Qro.</t>
  </si>
  <si>
    <t>Zapata</t>
  </si>
  <si>
    <t>Zapata Camiones S.A. de C.V, Prol. Bernardo Quintana 588, Peñuelas, 76148 Santiago de Querétaro, Qro.</t>
  </si>
  <si>
    <t>CNSV</t>
  </si>
  <si>
    <t>Galindo</t>
  </si>
  <si>
    <t>Carretera Amealco, Hacienda Galindo Km 5.5, 76820 San Juan del Río, Qro.</t>
  </si>
  <si>
    <t>IMT</t>
  </si>
  <si>
    <t>Carretera El Colorado - Galindo Km. 12 Col. San Fandila, 76703 Pedro Escobedo, Qro.</t>
  </si>
  <si>
    <t>Jarritos</t>
  </si>
  <si>
    <t>Tultitlan</t>
  </si>
  <si>
    <t>Blvd. Tultitlán Pte. 183, Los Reyes, 54900 Tultitlán de Mariano Escobedo, Méx.</t>
  </si>
  <si>
    <t>Expo Transportes</t>
  </si>
  <si>
    <t>Puebla</t>
  </si>
  <si>
    <t>Blvd. Héroes del 5 de Mayo 402, Centro histórico de Puebla, 72000 Heroica Puebla de Zaragoza, Pue.</t>
  </si>
  <si>
    <t>Av. Diego Díaz de Berlanga 3600, Sin Nombre de Col 21, 64510 Monterrey, N.L.</t>
  </si>
  <si>
    <t>Romedu</t>
  </si>
  <si>
    <t>Matamoros</t>
  </si>
  <si>
    <t>Carretera Lauro Villar KM 9.5, Ejido Longoreño, 87540 Heroica Matamoros, Tamps.</t>
  </si>
  <si>
    <t>Carretera al salto Via La alameda Km.11.5 #300, Predio el Laurel, 45640 Tlajomulco de Zuñiga, Jal.</t>
  </si>
  <si>
    <t>Zonte</t>
  </si>
  <si>
    <t>Tequisistlán</t>
  </si>
  <si>
    <t>Calle 1 S/N, 56300 Tequisistlán, Méx.</t>
  </si>
  <si>
    <t>García´s Trucking</t>
  </si>
  <si>
    <t>Manzana 022, Santa Barbara, 54713 Cuautitlán Izcalli, Méx.</t>
  </si>
  <si>
    <t>Huichapan</t>
  </si>
  <si>
    <t>Libramiento Huichapan Kilómetro 6 Sn, Sta Bárbara, 42405 Huichapan, Hgo.</t>
  </si>
  <si>
    <t>Cristóbal Colón 31, Texcacoa, 54600 Tepotzotlán, Méx.</t>
  </si>
  <si>
    <t>Culiacán</t>
  </si>
  <si>
    <t>Calz. Aeropuerto 5501, Gasolinera del Valle, Bachigualato, 80140 Culiacán Rosales, Sin.</t>
  </si>
  <si>
    <t>Chihuahua</t>
  </si>
  <si>
    <t>Avenida Cristobal Colón 18701, Embotelladora Coca Cola, 31109 Chihuahua, Chih.</t>
  </si>
  <si>
    <t>TIUSA</t>
  </si>
  <si>
    <t>Parque Industrial, Av. 1 Lote 3-A, Valle de Orizaba, 94780 Ver.</t>
  </si>
  <si>
    <t>Montellano</t>
  </si>
  <si>
    <t>Córdoba</t>
  </si>
  <si>
    <t>Kilometro 334, Córdoba - Fortín de las Flores, Crucero Nacional, 94470 Córdoba, Ver.</t>
  </si>
  <si>
    <t>La Costeña</t>
  </si>
  <si>
    <t>Vía Morelos 268, Sta Maria Tulpetlac, 55400 Ecatepec de Morelos, Méx.</t>
  </si>
  <si>
    <t>Anillo Perif. 14180, Área Federal Complejo de Telefonía, Iztapalapa, 09208 Ciudad de México, CDMX</t>
  </si>
  <si>
    <t>Cirucuito Parque Industrial, 74167 Los Volcanes, Pue.</t>
  </si>
  <si>
    <t>Aguascalientes</t>
  </si>
  <si>
    <t>A (Inicio)</t>
  </si>
  <si>
    <t>B (Fin)</t>
  </si>
  <si>
    <t>C (Cliente)</t>
  </si>
  <si>
    <t>D (Ciudad)</t>
  </si>
  <si>
    <t>E (Dirección Texto)</t>
  </si>
  <si>
    <t>F (Lat)</t>
  </si>
  <si>
    <t>G (Lng)</t>
  </si>
  <si>
    <t>Av Heroico Colegio Militar, Luis Gómez Zepeda, 20180 Aguascalientes, Ags.</t>
  </si>
  <si>
    <t>C. Adolfo López Mateos 1500, Parque Tangamanga II, 78107 San Luis Potosí, S.L.P.</t>
  </si>
  <si>
    <t>Unnamed Road, Tlaquepaque, 45598 San Pedro Tlaquepaque, Jal.</t>
  </si>
  <si>
    <t>Carretera Federal Mexico-Veracruz Km.321 Int. 2, 94450 Ixtaczoquitlán, Ver.</t>
  </si>
  <si>
    <t>ID</t>
  </si>
  <si>
    <t>No info</t>
  </si>
  <si>
    <t>Lala</t>
  </si>
  <si>
    <t>Irapuato</t>
  </si>
  <si>
    <t>GEPP</t>
  </si>
  <si>
    <t>Cuautitlán</t>
  </si>
  <si>
    <t>Tecnológico 1, San Isidro, 54730 Cuautitlán Izcalli, Méx.</t>
  </si>
  <si>
    <t>Transcooler</t>
  </si>
  <si>
    <t>Av. José López Portillo 92, El Fresno, 54944 Buenavista, Méx.</t>
  </si>
  <si>
    <t>Av. Irapuato 1790, Cdad. Industrial Irapuato, 36541 Cdad. Industrial Irapuato, Gto.</t>
  </si>
  <si>
    <t>H (Esp)</t>
  </si>
  <si>
    <t>x</t>
  </si>
  <si>
    <t>Morelia</t>
  </si>
  <si>
    <t>Perif. Paseo de la República 3051, Constituyentes de Apatzingán de 1814, 58150 Morelia, Mich.</t>
  </si>
  <si>
    <t>Av. Parque Industrial Monterrey 13, Monterrey, 66603 Cdad. Apodaca, N.L.</t>
  </si>
  <si>
    <t>Carr. Guadalajara - Chapala 2300, 45850 Guadalajara, Jal.</t>
  </si>
  <si>
    <t>Alexa Transportes</t>
  </si>
  <si>
    <t>Toluca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</si>
</sst>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7E956-A700-425B-92FC-34E30B3D84AA}" name="Reservas" displayName="Reservas" ref="A1:H107" totalsRowShown="0">
  <autoFilter ref="A1:H107" xr:uid="{5267E956-A700-425B-92FC-34E30B3D84AA}"/>
  <sortState xmlns:xlrd2="http://schemas.microsoft.com/office/spreadsheetml/2017/richdata2" ref="A2:H103">
    <sortCondition ref="A1:A103"/>
  </sortState>
  <tableColumns count="8">
    <tableColumn id="1" xr3:uid="{8CAABDCC-4A69-45B1-B8C0-E73E50D3086C}" name="A (Inicio)" dataDxfId="14"/>
    <tableColumn id="2" xr3:uid="{50A7469C-CB76-4027-BB9D-A23AF316C882}" name="B (Fin)" dataDxfId="13"/>
    <tableColumn id="3" xr3:uid="{6F09E71A-EE79-4ACD-9760-6D4451C70AAF}" name="C (Cliente)"/>
    <tableColumn id="4" xr3:uid="{6DB0C124-8057-4AA1-A9BC-25161A376C94}" name="D (Ciudad)"/>
    <tableColumn id="5" xr3:uid="{DDABEB8B-8D2D-4689-A996-4D507DC9ABE2}" name="E (Dirección Texto)" dataDxfId="12">
      <calculatedColumnFormula>VLOOKUP(_xlfn.CONCAT(Reservas[[#This Row],[C (Cliente)]]," ",Reservas[[#This Row],[D (Ciudad)]]),Directorio[],4,FALSE)</calculatedColumnFormula>
    </tableColumn>
    <tableColumn id="6" xr3:uid="{45AB3872-F62E-47DF-94D1-F9F94C4F075D}" name="F (Lat)" dataDxfId="11">
      <calculatedColumnFormula>VLOOKUP(_xlfn.CONCAT(Reservas[[#This Row],[C (Cliente)]]," ",Reservas[[#This Row],[D (Ciudad)]]),Directorio[],5,FALSE)</calculatedColumnFormula>
    </tableColumn>
    <tableColumn id="7" xr3:uid="{A661A560-41F9-4A4F-8565-1F8298EAF160}" name="G (Lng)" dataDxfId="10">
      <calculatedColumnFormula>VLOOKUP(_xlfn.CONCAT(Reservas[[#This Row],[C (Cliente)]]," ",Reservas[[#This Row],[D (Ciudad)]]),Directorio[],6,FALSE)</calculatedColumnFormula>
    </tableColumn>
    <tableColumn id="8" xr3:uid="{12122A63-B353-495B-BE4B-3E0489ED657D}" name="H (Esp)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B6501F-F9CA-476A-A2CB-7FA2AB730441}" name="Directorio" displayName="Directorio" ref="A1:F56" totalsRowShown="0" headerRowDxfId="8" dataDxfId="7">
  <autoFilter ref="A1:F56" xr:uid="{12B6501F-F9CA-476A-A2CB-7FA2AB730441}"/>
  <sortState xmlns:xlrd2="http://schemas.microsoft.com/office/spreadsheetml/2017/richdata2" ref="A2:F53">
    <sortCondition ref="B1:B53"/>
  </sortState>
  <tableColumns count="6">
    <tableColumn id="1" xr3:uid="{CA69035B-608F-41DF-9405-A8D5839E073D}" name="ID" dataDxfId="6">
      <calculatedColumnFormula>_xlfn.CONCAT(Directorio[[#This Row],[C (Cliente)]]," ",Directorio[[#This Row],[D (Ciudad)]])</calculatedColumnFormula>
    </tableColumn>
    <tableColumn id="2" xr3:uid="{476D8113-DD99-4FED-BC7B-2B52C8F0F686}" name="C (Cliente)" dataDxfId="5"/>
    <tableColumn id="3" xr3:uid="{97945146-B32C-45ED-ACA0-5AFFBCF03694}" name="D (Ciudad)" dataDxfId="4"/>
    <tableColumn id="4" xr3:uid="{86EECDF3-A214-4757-81B4-A15DF1A9D379}" name="E (Dirección Texto)" dataDxfId="3"/>
    <tableColumn id="5" xr3:uid="{AB39B761-04EE-455C-AAFE-FAEDBFAE201F}" name="F (Lat)" dataDxfId="2"/>
    <tableColumn id="6" xr3:uid="{36551976-A387-45DE-8C34-A7DB51EC8DA2}" name="G (Lng)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0E93-489B-4FBF-B0E1-8662A8E17C02}">
  <dimension ref="A1:H107"/>
  <sheetViews>
    <sheetView tabSelected="1" topLeftCell="A85" workbookViewId="0">
      <selection activeCell="E107" sqref="E107"/>
    </sheetView>
  </sheetViews>
  <sheetFormatPr baseColWidth="10" defaultRowHeight="14.4" x14ac:dyDescent="0.3"/>
  <cols>
    <col min="1" max="2" width="10.5546875" bestFit="1" customWidth="1"/>
    <col min="3" max="3" width="15.44140625" bestFit="1" customWidth="1"/>
    <col min="4" max="4" width="14.88671875" bestFit="1" customWidth="1"/>
    <col min="5" max="5" width="86.5546875" bestFit="1" customWidth="1"/>
    <col min="6" max="6" width="12" bestFit="1" customWidth="1"/>
    <col min="7" max="7" width="12.6640625" bestFit="1" customWidth="1"/>
  </cols>
  <sheetData>
    <row r="1" spans="1:8" x14ac:dyDescent="0.3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111</v>
      </c>
    </row>
    <row r="2" spans="1:8" x14ac:dyDescent="0.3">
      <c r="A2" s="1">
        <v>44652</v>
      </c>
      <c r="B2" s="1">
        <v>44660</v>
      </c>
      <c r="C2" t="s">
        <v>0</v>
      </c>
      <c r="D2" t="s">
        <v>1</v>
      </c>
      <c r="E2" t="str">
        <f>VLOOKUP(_xlfn.CONCAT(Reservas[[#This Row],[C (Cliente)]]," ",Reservas[[#This Row],[D (Ciudad)]]),Directorio[],4,FALSE)</f>
        <v>esquina con Luis, Calle Vicente Guerrero, Av. Don Luis G. Sada 3530, Del Nte., 64500 Monterrey, N.L.</v>
      </c>
      <c r="F2">
        <f>VLOOKUP(_xlfn.CONCAT(Reservas[[#This Row],[C (Cliente)]]," ",Reservas[[#This Row],[D (Ciudad)]]),Directorio[],5,FALSE)</f>
        <v>25.712078574619301</v>
      </c>
      <c r="G2">
        <f>VLOOKUP(_xlfn.CONCAT(Reservas[[#This Row],[C (Cliente)]]," ",Reservas[[#This Row],[D (Ciudad)]]),Directorio[],6,FALSE)</f>
        <v>-100.309104333428</v>
      </c>
    </row>
    <row r="3" spans="1:8" x14ac:dyDescent="0.3">
      <c r="A3" s="1">
        <v>44662</v>
      </c>
      <c r="B3" s="1">
        <v>44674</v>
      </c>
      <c r="C3" t="s">
        <v>3</v>
      </c>
      <c r="D3" t="s">
        <v>1</v>
      </c>
      <c r="E3" t="str">
        <f>VLOOKUP(_xlfn.CONCAT(Reservas[[#This Row],[C (Cliente)]]," ",Reservas[[#This Row],[D (Ciudad)]]),Directorio[],4,FALSE)</f>
        <v>NL 181, 66673 N.L.</v>
      </c>
      <c r="F3">
        <f>VLOOKUP(_xlfn.CONCAT(Reservas[[#This Row],[C (Cliente)]]," ",Reservas[[#This Row],[D (Ciudad)]]),Directorio[],5,FALSE)</f>
        <v>25.746431233466399</v>
      </c>
      <c r="G3">
        <f>VLOOKUP(_xlfn.CONCAT(Reservas[[#This Row],[C (Cliente)]]," ",Reservas[[#This Row],[D (Ciudad)]]),Directorio[],6,FALSE)</f>
        <v>-100.115220691098</v>
      </c>
    </row>
    <row r="4" spans="1:8" x14ac:dyDescent="0.3">
      <c r="A4" s="1">
        <v>44676</v>
      </c>
      <c r="B4" s="1">
        <v>44681</v>
      </c>
      <c r="C4" t="s">
        <v>5</v>
      </c>
      <c r="D4" t="s">
        <v>1</v>
      </c>
      <c r="E4" t="str">
        <f>VLOOKUP(_xlfn.CONCAT(Reservas[[#This Row],[C (Cliente)]]," ",Reservas[[#This Row],[D (Ciudad)]]),Directorio[],4,FALSE)</f>
        <v>C. del Río 3011, Riberas del Río, 67160 Guadalupe, N.L.</v>
      </c>
      <c r="F4">
        <f>VLOOKUP(_xlfn.CONCAT(Reservas[[#This Row],[C (Cliente)]]," ",Reservas[[#This Row],[D (Ciudad)]]),Directorio[],5,FALSE)</f>
        <v>25.6887973919251</v>
      </c>
      <c r="G4">
        <f>VLOOKUP(_xlfn.CONCAT(Reservas[[#This Row],[C (Cliente)]]," ",Reservas[[#This Row],[D (Ciudad)]]),Directorio[],6,FALSE)</f>
        <v>-100.229211992065</v>
      </c>
    </row>
    <row r="5" spans="1:8" x14ac:dyDescent="0.3">
      <c r="A5" s="1">
        <v>44683</v>
      </c>
      <c r="B5" s="1">
        <v>44685</v>
      </c>
      <c r="C5" t="s">
        <v>7</v>
      </c>
      <c r="D5" t="s">
        <v>8</v>
      </c>
      <c r="E5" t="str">
        <f>VLOOKUP(_xlfn.CONCAT(Reservas[[#This Row],[C (Cliente)]]," ",Reservas[[#This Row],[D (Ciudad)]]),Directorio[],4,FALSE)</f>
        <v>De La Libertad, Ejido de la Libertad, 78394 Pozos, S.L.P.</v>
      </c>
      <c r="F5">
        <f>VLOOKUP(_xlfn.CONCAT(Reservas[[#This Row],[C (Cliente)]]," ",Reservas[[#This Row],[D (Ciudad)]]),Directorio[],5,FALSE)</f>
        <v>22.126325347362599</v>
      </c>
      <c r="G5">
        <f>VLOOKUP(_xlfn.CONCAT(Reservas[[#This Row],[C (Cliente)]]," ",Reservas[[#This Row],[D (Ciudad)]]),Directorio[],6,FALSE)</f>
        <v>-100.91753473788501</v>
      </c>
    </row>
    <row r="6" spans="1:8" x14ac:dyDescent="0.3">
      <c r="A6" s="1">
        <v>44686</v>
      </c>
      <c r="B6" s="1">
        <v>44688</v>
      </c>
      <c r="C6" t="s">
        <v>10</v>
      </c>
      <c r="D6" t="s">
        <v>8</v>
      </c>
      <c r="E6" t="str">
        <f>VLOOKUP(_xlfn.CONCAT(Reservas[[#This Row],[C (Cliente)]]," ",Reservas[[#This Row],[D (Ciudad)]]),Directorio[],4,FALSE)</f>
        <v>C. Adolfo López Mateos 1500, Parque Tangamanga II, 78107 San Luis Potosí, S.L.P.</v>
      </c>
      <c r="F6">
        <f>VLOOKUP(_xlfn.CONCAT(Reservas[[#This Row],[C (Cliente)]]," ",Reservas[[#This Row],[D (Ciudad)]]),Directorio[],5,FALSE)</f>
        <v>22.188501768332198</v>
      </c>
      <c r="G6">
        <f>VLOOKUP(_xlfn.CONCAT(Reservas[[#This Row],[C (Cliente)]]," ",Reservas[[#This Row],[D (Ciudad)]]),Directorio[],6,FALSE)</f>
        <v>-100.981076940207</v>
      </c>
      <c r="H6" t="s">
        <v>112</v>
      </c>
    </row>
    <row r="7" spans="1:8" x14ac:dyDescent="0.3">
      <c r="A7" s="1">
        <v>44690</v>
      </c>
      <c r="B7" s="1">
        <v>44692</v>
      </c>
      <c r="C7" t="s">
        <v>5</v>
      </c>
      <c r="D7" t="s">
        <v>8</v>
      </c>
      <c r="E7" t="str">
        <f>VLOOKUP(_xlfn.CONCAT(Reservas[[#This Row],[C (Cliente)]]," ",Reservas[[#This Row],[D (Ciudad)]]),Directorio[],4,FALSE)</f>
        <v>Av. Anillo Perif. Nte. 3005, El Saucito, 78110 San Luis Potosí, S.L.P.</v>
      </c>
      <c r="F7">
        <f>VLOOKUP(_xlfn.CONCAT(Reservas[[#This Row],[C (Cliente)]]," ",Reservas[[#This Row],[D (Ciudad)]]),Directorio[],5,FALSE)</f>
        <v>22.215195615650099</v>
      </c>
      <c r="G7">
        <f>VLOOKUP(_xlfn.CONCAT(Reservas[[#This Row],[C (Cliente)]]," ",Reservas[[#This Row],[D (Ciudad)]]),Directorio[],6,FALSE)</f>
        <v>-100.98959859385199</v>
      </c>
    </row>
    <row r="8" spans="1:8" x14ac:dyDescent="0.3">
      <c r="A8" s="1">
        <v>44693</v>
      </c>
      <c r="B8" s="1">
        <v>44695</v>
      </c>
      <c r="C8" t="s">
        <v>0</v>
      </c>
      <c r="D8" t="s">
        <v>8</v>
      </c>
      <c r="E8" t="str">
        <f>VLOOKUP(_xlfn.CONCAT(Reservas[[#This Row],[C (Cliente)]]," ",Reservas[[#This Row],[D (Ciudad)]]),Directorio[],4,FALSE)</f>
        <v>Carretera Federal 57, P.º de la República No. 7501 Km. 187, Ejido Arroyos, 78395 San Luis Potosí</v>
      </c>
      <c r="F8">
        <f>VLOOKUP(_xlfn.CONCAT(Reservas[[#This Row],[C (Cliente)]]," ",Reservas[[#This Row],[D (Ciudad)]]),Directorio[],5,FALSE)</f>
        <v>22.055093557790599</v>
      </c>
      <c r="G8">
        <f>VLOOKUP(_xlfn.CONCAT(Reservas[[#This Row],[C (Cliente)]]," ",Reservas[[#This Row],[D (Ciudad)]]),Directorio[],6,FALSE)</f>
        <v>-100.860614961081</v>
      </c>
    </row>
    <row r="9" spans="1:8" x14ac:dyDescent="0.3">
      <c r="A9" s="1">
        <v>44697</v>
      </c>
      <c r="B9" s="1">
        <v>44699</v>
      </c>
      <c r="C9" t="s">
        <v>7</v>
      </c>
      <c r="D9" t="s">
        <v>12</v>
      </c>
      <c r="E9" t="str">
        <f>VLOOKUP(_xlfn.CONCAT(Reservas[[#This Row],[C (Cliente)]]," ",Reservas[[#This Row],[D (Ciudad)]]),Directorio[],4,FALSE)</f>
        <v>C. Hércules, Jardines del Bosque, 44190 Guadalajara, Jal.</v>
      </c>
      <c r="F9">
        <f>VLOOKUP(_xlfn.CONCAT(Reservas[[#This Row],[C (Cliente)]]," ",Reservas[[#This Row],[D (Ciudad)]]),Directorio[],5,FALSE)</f>
        <v>20.665168015295801</v>
      </c>
      <c r="G9">
        <f>VLOOKUP(_xlfn.CONCAT(Reservas[[#This Row],[C (Cliente)]]," ",Reservas[[#This Row],[D (Ciudad)]]),Directorio[],6,FALSE)</f>
        <v>-103.37581011127899</v>
      </c>
    </row>
    <row r="10" spans="1:8" x14ac:dyDescent="0.3">
      <c r="A10" s="1">
        <v>44700</v>
      </c>
      <c r="B10" s="1">
        <v>44705</v>
      </c>
      <c r="C10" t="s">
        <v>5</v>
      </c>
      <c r="D10" t="s">
        <v>12</v>
      </c>
      <c r="E10" t="str">
        <f>VLOOKUP(_xlfn.CONCAT(Reservas[[#This Row],[C (Cliente)]]," ",Reservas[[#This Row],[D (Ciudad)]]),Directorio[],4,FALSE)</f>
        <v>Unnamed Road, Tlaquepaque, 45598 San Pedro Tlaquepaque, Jal.</v>
      </c>
      <c r="F10">
        <f>VLOOKUP(_xlfn.CONCAT(Reservas[[#This Row],[C (Cliente)]]," ",Reservas[[#This Row],[D (Ciudad)]]),Directorio[],5,FALSE)</f>
        <v>21.443229911047698</v>
      </c>
      <c r="G10">
        <f>VLOOKUP(_xlfn.CONCAT(Reservas[[#This Row],[C (Cliente)]]," ",Reservas[[#This Row],[D (Ciudad)]]),Directorio[],6,FALSE)</f>
        <v>-103.25827511854099</v>
      </c>
    </row>
    <row r="11" spans="1:8" x14ac:dyDescent="0.3">
      <c r="A11" s="1">
        <v>44706</v>
      </c>
      <c r="B11" s="1">
        <v>44713</v>
      </c>
      <c r="C11" t="s">
        <v>16</v>
      </c>
      <c r="D11" t="s">
        <v>12</v>
      </c>
      <c r="E11" t="str">
        <f>VLOOKUP(_xlfn.CONCAT(Reservas[[#This Row],[C (Cliente)]]," ",Reservas[[#This Row],[D (Ciudad)]]),Directorio[],4,FALSE)</f>
        <v>Anillo Perif. Sur Manuel Gómez Morín, La Piedrera, 45580 San Pedro Tlaquepaque, Jal.</v>
      </c>
      <c r="F11">
        <f>VLOOKUP(_xlfn.CONCAT(Reservas[[#This Row],[C (Cliente)]]," ",Reservas[[#This Row],[D (Ciudad)]]),Directorio[],5,FALSE)</f>
        <v>20.602177218828899</v>
      </c>
      <c r="G11">
        <f>VLOOKUP(_xlfn.CONCAT(Reservas[[#This Row],[C (Cliente)]]," ",Reservas[[#This Row],[D (Ciudad)]]),Directorio[],6,FALSE)</f>
        <v>-103.30689456578899</v>
      </c>
    </row>
    <row r="12" spans="1:8" x14ac:dyDescent="0.3">
      <c r="A12" s="1">
        <v>44714</v>
      </c>
      <c r="B12" s="1">
        <v>44714</v>
      </c>
      <c r="C12" t="s">
        <v>18</v>
      </c>
      <c r="D12" t="s">
        <v>12</v>
      </c>
      <c r="E12" t="str">
        <f>VLOOKUP(_xlfn.CONCAT(Reservas[[#This Row],[C (Cliente)]]," ",Reservas[[#This Row],[D (Ciudad)]]),Directorio[],4,FALSE)</f>
        <v>Anillo Perif. Sur Manuel Gómez Morín 5890, Artesanos, 45598 San Pedro Tlaquepaque, Jal.</v>
      </c>
      <c r="F12">
        <f>VLOOKUP(_xlfn.CONCAT(Reservas[[#This Row],[C (Cliente)]]," ",Reservas[[#This Row],[D (Ciudad)]]),Directorio[],5,FALSE)</f>
        <v>20.578718781913999</v>
      </c>
      <c r="G12">
        <f>VLOOKUP(_xlfn.CONCAT(Reservas[[#This Row],[C (Cliente)]]," ",Reservas[[#This Row],[D (Ciudad)]]),Directorio[],6,FALSE)</f>
        <v>-103.35003860831399</v>
      </c>
    </row>
    <row r="13" spans="1:8" x14ac:dyDescent="0.3">
      <c r="A13" s="1">
        <v>44715</v>
      </c>
      <c r="B13" s="1">
        <v>44716</v>
      </c>
      <c r="C13" t="s">
        <v>20</v>
      </c>
      <c r="D13" t="s">
        <v>12</v>
      </c>
      <c r="E13" t="str">
        <f>VLOOKUP(_xlfn.CONCAT(Reservas[[#This Row],[C (Cliente)]]," ",Reservas[[#This Row],[D (Ciudad)]]),Directorio[],4,FALSE)</f>
        <v>Anillo Periférico Sur Esquina, Av. Adolf Bernard Horn Junior Núm. 6372, 45598 San Pedro Tlaquepaque, Jal.</v>
      </c>
      <c r="F13">
        <f>VLOOKUP(_xlfn.CONCAT(Reservas[[#This Row],[C (Cliente)]]," ",Reservas[[#This Row],[D (Ciudad)]]),Directorio[],5,FALSE)</f>
        <v>20.584308233274299</v>
      </c>
      <c r="G13">
        <f>VLOOKUP(_xlfn.CONCAT(Reservas[[#This Row],[C (Cliente)]]," ",Reservas[[#This Row],[D (Ciudad)]]),Directorio[],6,FALSE)</f>
        <v>-103.36278750461</v>
      </c>
    </row>
    <row r="14" spans="1:8" x14ac:dyDescent="0.3">
      <c r="A14" s="1">
        <v>44718</v>
      </c>
      <c r="B14" s="1">
        <v>44720</v>
      </c>
      <c r="C14" t="s">
        <v>22</v>
      </c>
      <c r="D14" t="s">
        <v>12</v>
      </c>
      <c r="E14" t="str">
        <f>VLOOKUP(_xlfn.CONCAT(Reservas[[#This Row],[C (Cliente)]]," ",Reservas[[#This Row],[D (Ciudad)]]),Directorio[],4,FALSE)</f>
        <v>Av. Patria 269, El Manantial, 44470 Guadalajara, Jal.</v>
      </c>
      <c r="F14">
        <f>VLOOKUP(_xlfn.CONCAT(Reservas[[#This Row],[C (Cliente)]]," ",Reservas[[#This Row],[D (Ciudad)]]),Directorio[],5,FALSE)</f>
        <v>20.622401784193201</v>
      </c>
      <c r="G14">
        <f>VLOOKUP(_xlfn.CONCAT(Reservas[[#This Row],[C (Cliente)]]," ",Reservas[[#This Row],[D (Ciudad)]]),Directorio[],6,FALSE)</f>
        <v>-103.34534335798899</v>
      </c>
    </row>
    <row r="15" spans="1:8" x14ac:dyDescent="0.3">
      <c r="A15" s="1">
        <v>44718</v>
      </c>
      <c r="B15" s="1">
        <v>44719</v>
      </c>
      <c r="C15" t="s">
        <v>10</v>
      </c>
      <c r="D15" t="s">
        <v>12</v>
      </c>
      <c r="E15" t="str">
        <f>VLOOKUP(_xlfn.CONCAT(Reservas[[#This Row],[C (Cliente)]]," ",Reservas[[#This Row],[D (Ciudad)]]),Directorio[],4,FALSE)</f>
        <v>No info</v>
      </c>
      <c r="F15" t="str">
        <f>VLOOKUP(_xlfn.CONCAT(Reservas[[#This Row],[C (Cliente)]]," ",Reservas[[#This Row],[D (Ciudad)]]),Directorio[],5,FALSE)</f>
        <v>No info</v>
      </c>
      <c r="G15" t="str">
        <f>VLOOKUP(_xlfn.CONCAT(Reservas[[#This Row],[C (Cliente)]]," ",Reservas[[#This Row],[D (Ciudad)]]),Directorio[],6,FALSE)</f>
        <v>No info</v>
      </c>
      <c r="H15" t="s">
        <v>112</v>
      </c>
    </row>
    <row r="16" spans="1:8" x14ac:dyDescent="0.3">
      <c r="A16" s="1">
        <v>44721</v>
      </c>
      <c r="B16" s="1">
        <v>44723</v>
      </c>
      <c r="C16" t="s">
        <v>0</v>
      </c>
      <c r="D16" t="s">
        <v>12</v>
      </c>
      <c r="E16" t="str">
        <f>VLOOKUP(_xlfn.CONCAT(Reservas[[#This Row],[C (Cliente)]]," ",Reservas[[#This Row],[D (Ciudad)]]),Directorio[],4,FALSE)</f>
        <v>Industrial Park, San Martin Al Verde 520-Nave 12, Colonia, 45620 Guadalajara, Jal.</v>
      </c>
      <c r="F16">
        <f>VLOOKUP(_xlfn.CONCAT(Reservas[[#This Row],[C (Cliente)]]," ",Reservas[[#This Row],[D (Ciudad)]]),Directorio[],5,FALSE)</f>
        <v>20.587716522906799</v>
      </c>
      <c r="G16">
        <f>VLOOKUP(_xlfn.CONCAT(Reservas[[#This Row],[C (Cliente)]]," ",Reservas[[#This Row],[D (Ciudad)]]),Directorio[],6,FALSE)</f>
        <v>-103.28812603542799</v>
      </c>
    </row>
    <row r="17" spans="1:8" x14ac:dyDescent="0.3">
      <c r="A17" s="1">
        <v>44725</v>
      </c>
      <c r="B17" s="1">
        <v>44727</v>
      </c>
      <c r="C17" t="s">
        <v>7</v>
      </c>
      <c r="D17" t="s">
        <v>26</v>
      </c>
      <c r="E17" t="str">
        <f>VLOOKUP(_xlfn.CONCAT(Reservas[[#This Row],[C (Cliente)]]," ",Reservas[[#This Row],[D (Ciudad)]]),Directorio[],4,FALSE)</f>
        <v>Av. Michoacán 64, Guadalupe del Moral, Iztapalapa, 09300 Ciudad de México, CDMX</v>
      </c>
      <c r="F17">
        <f>VLOOKUP(_xlfn.CONCAT(Reservas[[#This Row],[C (Cliente)]]," ",Reservas[[#This Row],[D (Ciudad)]]),Directorio[],5,FALSE)</f>
        <v>19.3671062792728</v>
      </c>
      <c r="G17">
        <f>VLOOKUP(_xlfn.CONCAT(Reservas[[#This Row],[C (Cliente)]]," ",Reservas[[#This Row],[D (Ciudad)]]),Directorio[],6,FALSE)</f>
        <v>-99.075784605065394</v>
      </c>
    </row>
    <row r="18" spans="1:8" x14ac:dyDescent="0.3">
      <c r="A18" s="1">
        <v>44728</v>
      </c>
      <c r="B18" s="1">
        <v>44730</v>
      </c>
      <c r="C18" t="s">
        <v>0</v>
      </c>
      <c r="D18" t="s">
        <v>24</v>
      </c>
      <c r="E18" t="str">
        <f>VLOOKUP(_xlfn.CONCAT(Reservas[[#This Row],[C (Cliente)]]," ",Reservas[[#This Row],[D (Ciudad)]]),Directorio[],4,FALSE)</f>
        <v>Fraccion B, Fraccion I, Bodega 12-A San Jose la Teja, 54607 Tepotzotlán, Méx.</v>
      </c>
      <c r="F18">
        <f>VLOOKUP(_xlfn.CONCAT(Reservas[[#This Row],[C (Cliente)]]," ",Reservas[[#This Row],[D (Ciudad)]]),Directorio[],5,FALSE)</f>
        <v>19.734602450529302</v>
      </c>
      <c r="G18">
        <f>VLOOKUP(_xlfn.CONCAT(Reservas[[#This Row],[C (Cliente)]]," ",Reservas[[#This Row],[D (Ciudad)]]),Directorio[],6,FALSE)</f>
        <v>-99.211515604765395</v>
      </c>
    </row>
    <row r="19" spans="1:8" x14ac:dyDescent="0.3">
      <c r="A19" s="1">
        <v>44735</v>
      </c>
      <c r="B19" s="1">
        <v>44735</v>
      </c>
      <c r="C19" t="s">
        <v>18</v>
      </c>
      <c r="D19" t="s">
        <v>28</v>
      </c>
      <c r="E19" t="str">
        <f>VLOOKUP(_xlfn.CONCAT(Reservas[[#This Row],[C (Cliente)]]," ",Reservas[[#This Row],[D (Ciudad)]]),Directorio[],4,FALSE)</f>
        <v>Av San Pablo Xalpa 520, San Martin Xochinahuac, Azcapotzalco, 02120 Ciudad de México, CDMX</v>
      </c>
      <c r="F19">
        <f>VLOOKUP(_xlfn.CONCAT(Reservas[[#This Row],[C (Cliente)]]," ",Reservas[[#This Row],[D (Ciudad)]]),Directorio[],5,FALSE)</f>
        <v>19.505667020624202</v>
      </c>
      <c r="G19">
        <f>VLOOKUP(_xlfn.CONCAT(Reservas[[#This Row],[C (Cliente)]]," ",Reservas[[#This Row],[D (Ciudad)]]),Directorio[],6,FALSE)</f>
        <v>-99.183069410757895</v>
      </c>
    </row>
    <row r="20" spans="1:8" x14ac:dyDescent="0.3">
      <c r="A20" s="1">
        <v>44736</v>
      </c>
      <c r="B20" s="1">
        <v>44737</v>
      </c>
      <c r="C20" t="s">
        <v>30</v>
      </c>
      <c r="D20" t="s">
        <v>28</v>
      </c>
      <c r="E20" t="str">
        <f>VLOOKUP(_xlfn.CONCAT(Reservas[[#This Row],[C (Cliente)]]," ",Reservas[[#This Row],[D (Ciudad)]]),Directorio[],4,FALSE)</f>
        <v>Calz. de los Angeles 185A, San Martin Xochinahuac, Azcapotzalco, 02120 Ciudad de México, CDMX</v>
      </c>
      <c r="F20">
        <f>VLOOKUP(_xlfn.CONCAT(Reservas[[#This Row],[C (Cliente)]]," ",Reservas[[#This Row],[D (Ciudad)]]),Directorio[],5,FALSE)</f>
        <v>19.500773345961498</v>
      </c>
      <c r="G20">
        <f>VLOOKUP(_xlfn.CONCAT(Reservas[[#This Row],[C (Cliente)]]," ",Reservas[[#This Row],[D (Ciudad)]]),Directorio[],6,FALSE)</f>
        <v>-99.191443475257302</v>
      </c>
    </row>
    <row r="21" spans="1:8" x14ac:dyDescent="0.3">
      <c r="A21" s="1">
        <v>44739</v>
      </c>
      <c r="B21" s="1">
        <v>44741</v>
      </c>
      <c r="C21" t="s">
        <v>22</v>
      </c>
      <c r="D21" t="s">
        <v>32</v>
      </c>
      <c r="E21" t="str">
        <f>VLOOKUP(_xlfn.CONCAT(Reservas[[#This Row],[C (Cliente)]]," ",Reservas[[#This Row],[D (Ciudad)]]),Directorio[],4,FALSE)</f>
        <v>Vía Gustavo Baz No. 4500, Industrial Barrientos, 54110 Tlalnepantla, Méx.</v>
      </c>
      <c r="F21">
        <f>VLOOKUP(_xlfn.CONCAT(Reservas[[#This Row],[C (Cliente)]]," ",Reservas[[#This Row],[D (Ciudad)]]),Directorio[],5,FALSE)</f>
        <v>19.579081577249699</v>
      </c>
      <c r="G21">
        <f>VLOOKUP(_xlfn.CONCAT(Reservas[[#This Row],[C (Cliente)]]," ",Reservas[[#This Row],[D (Ciudad)]]),Directorio[],6,FALSE)</f>
        <v>-99.201417141002807</v>
      </c>
    </row>
    <row r="22" spans="1:8" x14ac:dyDescent="0.3">
      <c r="A22" s="1">
        <v>44739</v>
      </c>
      <c r="B22" s="1">
        <v>44741</v>
      </c>
      <c r="C22" t="s">
        <v>10</v>
      </c>
      <c r="D22" t="s">
        <v>34</v>
      </c>
      <c r="E22" t="str">
        <f>VLOOKUP(_xlfn.CONCAT(Reservas[[#This Row],[C (Cliente)]]," ",Reservas[[#This Row],[D (Ciudad)]]),Directorio[],4,FALSE)</f>
        <v>No info</v>
      </c>
      <c r="F22" t="str">
        <f>VLOOKUP(_xlfn.CONCAT(Reservas[[#This Row],[C (Cliente)]]," ",Reservas[[#This Row],[D (Ciudad)]]),Directorio[],5,FALSE)</f>
        <v>No info</v>
      </c>
      <c r="G22" t="str">
        <f>VLOOKUP(_xlfn.CONCAT(Reservas[[#This Row],[C (Cliente)]]," ",Reservas[[#This Row],[D (Ciudad)]]),Directorio[],6,FALSE)</f>
        <v>No info</v>
      </c>
      <c r="H22" t="s">
        <v>112</v>
      </c>
    </row>
    <row r="23" spans="1:8" x14ac:dyDescent="0.3">
      <c r="A23" s="1">
        <v>44742</v>
      </c>
      <c r="B23" s="1">
        <v>44744</v>
      </c>
      <c r="C23" t="s">
        <v>35</v>
      </c>
      <c r="D23" t="s">
        <v>34</v>
      </c>
      <c r="E23" t="str">
        <f>VLOOKUP(_xlfn.CONCAT(Reservas[[#This Row],[C (Cliente)]]," ",Reservas[[#This Row],[D (Ciudad)]]),Directorio[],4,FALSE)</f>
        <v>Carlos B. Zetina 401, Industrial Xalostoc, 55348 Ecatepec de Morelos, Méx.</v>
      </c>
      <c r="F23">
        <f>VLOOKUP(_xlfn.CONCAT(Reservas[[#This Row],[C (Cliente)]]," ",Reservas[[#This Row],[D (Ciudad)]]),Directorio[],5,FALSE)</f>
        <v>19.515264391003999</v>
      </c>
      <c r="G23">
        <f>VLOOKUP(_xlfn.CONCAT(Reservas[[#This Row],[C (Cliente)]]," ",Reservas[[#This Row],[D (Ciudad)]]),Directorio[],6,FALSE)</f>
        <v>-99.079513753780802</v>
      </c>
    </row>
    <row r="24" spans="1:8" x14ac:dyDescent="0.3">
      <c r="A24" s="1">
        <v>44746</v>
      </c>
      <c r="B24" s="1">
        <v>44751</v>
      </c>
      <c r="C24" t="s">
        <v>37</v>
      </c>
      <c r="D24" t="s">
        <v>38</v>
      </c>
      <c r="E24" t="str">
        <f>VLOOKUP(_xlfn.CONCAT(Reservas[[#This Row],[C (Cliente)]]," ",Reservas[[#This Row],[D (Ciudad)]]),Directorio[],4,FALSE)</f>
        <v>5 Av. Nte., 77728 Playa del Carmen, Q.R.</v>
      </c>
      <c r="F24">
        <f>VLOOKUP(_xlfn.CONCAT(Reservas[[#This Row],[C (Cliente)]]," ",Reservas[[#This Row],[D (Ciudad)]]),Directorio[],5,FALSE)</f>
        <v>20.650520060642101</v>
      </c>
      <c r="G24">
        <f>VLOOKUP(_xlfn.CONCAT(Reservas[[#This Row],[C (Cliente)]]," ",Reservas[[#This Row],[D (Ciudad)]]),Directorio[],6,FALSE)</f>
        <v>-87.053586691917801</v>
      </c>
      <c r="H24" t="s">
        <v>112</v>
      </c>
    </row>
    <row r="25" spans="1:8" x14ac:dyDescent="0.3">
      <c r="A25" s="1">
        <v>44753</v>
      </c>
      <c r="B25" s="1">
        <v>44758</v>
      </c>
      <c r="C25" t="s">
        <v>22</v>
      </c>
      <c r="D25" t="s">
        <v>40</v>
      </c>
      <c r="E25" t="str">
        <f>VLOOKUP(_xlfn.CONCAT(Reservas[[#This Row],[C (Cliente)]]," ",Reservas[[#This Row],[D (Ciudad)]]),Directorio[],4,FALSE)</f>
        <v>77689 San Miguel de Cozumel, Q.R.</v>
      </c>
      <c r="F25">
        <f>VLOOKUP(_xlfn.CONCAT(Reservas[[#This Row],[C (Cliente)]]," ",Reservas[[#This Row],[D (Ciudad)]]),Directorio[],5,FALSE)</f>
        <v>20.5766481785287</v>
      </c>
      <c r="G25">
        <f>VLOOKUP(_xlfn.CONCAT(Reservas[[#This Row],[C (Cliente)]]," ",Reservas[[#This Row],[D (Ciudad)]]),Directorio[],6,FALSE)</f>
        <v>-87.132933100610103</v>
      </c>
    </row>
    <row r="26" spans="1:8" x14ac:dyDescent="0.3">
      <c r="A26" s="1">
        <v>44760</v>
      </c>
      <c r="B26" s="1">
        <v>44762</v>
      </c>
      <c r="C26" t="s">
        <v>7</v>
      </c>
      <c r="D26" t="s">
        <v>40</v>
      </c>
      <c r="E26" t="str">
        <f>VLOOKUP(_xlfn.CONCAT(Reservas[[#This Row],[C (Cliente)]]," ",Reservas[[#This Row],[D (Ciudad)]]),Directorio[],4,FALSE)</f>
        <v>Avenida López Portillo Manzana 50, Supermanzana 98, 77537 Benito Juárez, Q.R.</v>
      </c>
      <c r="F26">
        <f>VLOOKUP(_xlfn.CONCAT(Reservas[[#This Row],[C (Cliente)]]," ",Reservas[[#This Row],[D (Ciudad)]]),Directorio[],5,FALSE)</f>
        <v>21.7414689484349</v>
      </c>
      <c r="G26">
        <f>VLOOKUP(_xlfn.CONCAT(Reservas[[#This Row],[C (Cliente)]]," ",Reservas[[#This Row],[D (Ciudad)]]),Directorio[],6,FALSE)</f>
        <v>-87.002805893106</v>
      </c>
    </row>
    <row r="27" spans="1:8" x14ac:dyDescent="0.3">
      <c r="A27" s="1">
        <v>44764</v>
      </c>
      <c r="B27" s="1">
        <v>44765</v>
      </c>
      <c r="C27" t="s">
        <v>30</v>
      </c>
      <c r="D27" t="s">
        <v>43</v>
      </c>
      <c r="E27" t="str">
        <f>VLOOKUP(_xlfn.CONCAT(Reservas[[#This Row],[C (Cliente)]]," ",Reservas[[#This Row],[D (Ciudad)]]),Directorio[],4,FALSE)</f>
        <v>Itzincab,, C. 31 Diag. 432-452, Paseos de Itzincab, 97392 Itzincab, Yuc.</v>
      </c>
      <c r="F27">
        <f>VLOOKUP(_xlfn.CONCAT(Reservas[[#This Row],[C (Cliente)]]," ",Reservas[[#This Row],[D (Ciudad)]]),Directorio[],5,FALSE)</f>
        <v>20.921929107127202</v>
      </c>
      <c r="G27">
        <f>VLOOKUP(_xlfn.CONCAT(Reservas[[#This Row],[C (Cliente)]]," ",Reservas[[#This Row],[D (Ciudad)]]),Directorio[],6,FALSE)</f>
        <v>-89.699951702809997</v>
      </c>
    </row>
    <row r="28" spans="1:8" x14ac:dyDescent="0.3">
      <c r="A28" s="1">
        <v>44768</v>
      </c>
      <c r="B28" s="1">
        <v>44778</v>
      </c>
      <c r="C28" t="s">
        <v>45</v>
      </c>
      <c r="D28" t="s">
        <v>46</v>
      </c>
      <c r="E28" t="str">
        <f>VLOOKUP(_xlfn.CONCAT(Reservas[[#This Row],[C (Cliente)]]," ",Reservas[[#This Row],[D (Ciudad)]]),Directorio[],4,FALSE)</f>
        <v>Carretera Federal Mexico-Veracruz Km.321 Int. 2, 94450 Ixtaczoquitlán, Ver.</v>
      </c>
      <c r="F28">
        <f>VLOOKUP(_xlfn.CONCAT(Reservas[[#This Row],[C (Cliente)]]," ",Reservas[[#This Row],[D (Ciudad)]]),Directorio[],5,FALSE)</f>
        <v>18.869328061649401</v>
      </c>
      <c r="G28">
        <f>VLOOKUP(_xlfn.CONCAT(Reservas[[#This Row],[C (Cliente)]]," ",Reservas[[#This Row],[D (Ciudad)]]),Directorio[],6,FALSE)</f>
        <v>-97.051392433621999</v>
      </c>
    </row>
    <row r="29" spans="1:8" x14ac:dyDescent="0.3">
      <c r="A29" s="1">
        <v>44771</v>
      </c>
      <c r="B29" s="1">
        <v>44772</v>
      </c>
      <c r="C29" t="s">
        <v>10</v>
      </c>
      <c r="D29" t="s">
        <v>46</v>
      </c>
      <c r="E29" t="str">
        <f>VLOOKUP(_xlfn.CONCAT(Reservas[[#This Row],[C (Cliente)]]," ",Reservas[[#This Row],[D (Ciudad)]]),Directorio[],4,FALSE)</f>
        <v>No info</v>
      </c>
      <c r="F29" t="str">
        <f>VLOOKUP(_xlfn.CONCAT(Reservas[[#This Row],[C (Cliente)]]," ",Reservas[[#This Row],[D (Ciudad)]]),Directorio[],5,FALSE)</f>
        <v>No info</v>
      </c>
      <c r="G29" t="str">
        <f>VLOOKUP(_xlfn.CONCAT(Reservas[[#This Row],[C (Cliente)]]," ",Reservas[[#This Row],[D (Ciudad)]]),Directorio[],6,FALSE)</f>
        <v>No info</v>
      </c>
      <c r="H29" t="s">
        <v>112</v>
      </c>
    </row>
    <row r="30" spans="1:8" x14ac:dyDescent="0.3">
      <c r="A30" s="1">
        <v>44784</v>
      </c>
      <c r="B30" s="1">
        <v>44790</v>
      </c>
      <c r="C30" t="s">
        <v>47</v>
      </c>
      <c r="D30" t="s">
        <v>48</v>
      </c>
      <c r="E30" t="str">
        <f>VLOOKUP(_xlfn.CONCAT(Reservas[[#This Row],[C (Cliente)]]," ",Reservas[[#This Row],[D (Ciudad)]]),Directorio[],4,FALSE)</f>
        <v>Carretera QRO-SLP # 16368, Conjunto Ind. Luxar Bodega 20 a 25, 76220 Santa Rosa Jáuregui, Qro.</v>
      </c>
      <c r="F30">
        <f>VLOOKUP(_xlfn.CONCAT(Reservas[[#This Row],[C (Cliente)]]," ",Reservas[[#This Row],[D (Ciudad)]]),Directorio[],5,FALSE)</f>
        <v>20.712953957934499</v>
      </c>
      <c r="G30">
        <f>VLOOKUP(_xlfn.CONCAT(Reservas[[#This Row],[C (Cliente)]]," ",Reservas[[#This Row],[D (Ciudad)]]),Directorio[],6,FALSE)</f>
        <v>-100.43729290898899</v>
      </c>
    </row>
    <row r="31" spans="1:8" x14ac:dyDescent="0.3">
      <c r="A31" s="1">
        <v>44791</v>
      </c>
      <c r="B31" s="1">
        <v>44793</v>
      </c>
      <c r="C31" t="s">
        <v>50</v>
      </c>
      <c r="D31" t="s">
        <v>48</v>
      </c>
      <c r="E31" t="str">
        <f>VLOOKUP(_xlfn.CONCAT(Reservas[[#This Row],[C (Cliente)]]," ",Reservas[[#This Row],[D (Ciudad)]]),Directorio[],4,FALSE)</f>
        <v>Zapata Camiones S.A. de C.V, Prol. Bernardo Quintana 588, Peñuelas, 76148 Santiago de Querétaro, Qro.</v>
      </c>
      <c r="F31">
        <f>VLOOKUP(_xlfn.CONCAT(Reservas[[#This Row],[C (Cliente)]]," ",Reservas[[#This Row],[D (Ciudad)]]),Directorio[],5,FALSE)</f>
        <v>20.617788264198001</v>
      </c>
      <c r="G31">
        <f>VLOOKUP(_xlfn.CONCAT(Reservas[[#This Row],[C (Cliente)]]," ",Reservas[[#This Row],[D (Ciudad)]]),Directorio[],6,FALSE)</f>
        <v>-100.402536647071</v>
      </c>
    </row>
    <row r="32" spans="1:8" x14ac:dyDescent="0.3">
      <c r="A32" s="1">
        <v>44795</v>
      </c>
      <c r="B32" s="1">
        <v>44797</v>
      </c>
      <c r="C32" t="s">
        <v>52</v>
      </c>
      <c r="D32" t="s">
        <v>53</v>
      </c>
      <c r="E32" t="str">
        <f>VLOOKUP(_xlfn.CONCAT(Reservas[[#This Row],[C (Cliente)]]," ",Reservas[[#This Row],[D (Ciudad)]]),Directorio[],4,FALSE)</f>
        <v>Carretera Amealco, Hacienda Galindo Km 5.5, 76820 San Juan del Río, Qro.</v>
      </c>
      <c r="F32">
        <f>VLOOKUP(_xlfn.CONCAT(Reservas[[#This Row],[C (Cliente)]]," ",Reservas[[#This Row],[D (Ciudad)]]),Directorio[],5,FALSE)</f>
        <v>20.396790604230599</v>
      </c>
      <c r="G32">
        <f>VLOOKUP(_xlfn.CONCAT(Reservas[[#This Row],[C (Cliente)]]," ",Reservas[[#This Row],[D (Ciudad)]]),Directorio[],6,FALSE)</f>
        <v>-100.09452334269299</v>
      </c>
      <c r="H32" t="s">
        <v>112</v>
      </c>
    </row>
    <row r="33" spans="1:8" x14ac:dyDescent="0.3">
      <c r="A33" s="1">
        <v>44802</v>
      </c>
      <c r="B33" s="1">
        <v>44810</v>
      </c>
      <c r="C33" t="s">
        <v>55</v>
      </c>
      <c r="D33" t="s">
        <v>53</v>
      </c>
      <c r="E33" t="str">
        <f>VLOOKUP(_xlfn.CONCAT(Reservas[[#This Row],[C (Cliente)]]," ",Reservas[[#This Row],[D (Ciudad)]]),Directorio[],4,FALSE)</f>
        <v>Carretera El Colorado - Galindo Km. 12 Col. San Fandila, 76703 Pedro Escobedo, Qro.</v>
      </c>
      <c r="F33">
        <f>VLOOKUP(_xlfn.CONCAT(Reservas[[#This Row],[C (Cliente)]]," ",Reservas[[#This Row],[D (Ciudad)]]),Directorio[],5,FALSE)</f>
        <v>20.491784564515999</v>
      </c>
      <c r="G33">
        <f>VLOOKUP(_xlfn.CONCAT(Reservas[[#This Row],[C (Cliente)]]," ",Reservas[[#This Row],[D (Ciudad)]]),Directorio[],6,FALSE)</f>
        <v>-100.211671436274</v>
      </c>
    </row>
    <row r="34" spans="1:8" x14ac:dyDescent="0.3">
      <c r="A34" s="1">
        <v>44812</v>
      </c>
      <c r="B34" s="1">
        <v>44818</v>
      </c>
      <c r="C34" t="s">
        <v>57</v>
      </c>
      <c r="D34" t="s">
        <v>58</v>
      </c>
      <c r="E34" t="str">
        <f>VLOOKUP(_xlfn.CONCAT(Reservas[[#This Row],[C (Cliente)]]," ",Reservas[[#This Row],[D (Ciudad)]]),Directorio[],4,FALSE)</f>
        <v>Blvd. Tultitlán Pte. 183, Los Reyes, 54900 Tultitlán de Mariano Escobedo, Méx.</v>
      </c>
      <c r="F34">
        <f>VLOOKUP(_xlfn.CONCAT(Reservas[[#This Row],[C (Cliente)]]," ",Reservas[[#This Row],[D (Ciudad)]]),Directorio[],5,FALSE)</f>
        <v>19.6366170850015</v>
      </c>
      <c r="G34">
        <f>VLOOKUP(_xlfn.CONCAT(Reservas[[#This Row],[C (Cliente)]]," ",Reservas[[#This Row],[D (Ciudad)]]),Directorio[],6,FALSE)</f>
        <v>-99.164645635278802</v>
      </c>
    </row>
    <row r="35" spans="1:8" x14ac:dyDescent="0.3">
      <c r="A35" s="1">
        <v>44838</v>
      </c>
      <c r="B35" s="1">
        <v>44842</v>
      </c>
      <c r="C35" t="s">
        <v>60</v>
      </c>
      <c r="D35" t="s">
        <v>61</v>
      </c>
      <c r="E35" t="str">
        <f>VLOOKUP(_xlfn.CONCAT(Reservas[[#This Row],[C (Cliente)]]," ",Reservas[[#This Row],[D (Ciudad)]]),Directorio[],4,FALSE)</f>
        <v>Blvd. Héroes del 5 de Mayo 402, Centro histórico de Puebla, 72000 Heroica Puebla de Zaragoza, Pue.</v>
      </c>
      <c r="F35">
        <f>VLOOKUP(_xlfn.CONCAT(Reservas[[#This Row],[C (Cliente)]]," ",Reservas[[#This Row],[D (Ciudad)]]),Directorio[],5,FALSE)</f>
        <v>19.043395160035601</v>
      </c>
      <c r="G35">
        <f>VLOOKUP(_xlfn.CONCAT(Reservas[[#This Row],[C (Cliente)]]," ",Reservas[[#This Row],[D (Ciudad)]]),Directorio[],6,FALSE)</f>
        <v>-98.191638306250596</v>
      </c>
      <c r="H35" t="s">
        <v>112</v>
      </c>
    </row>
    <row r="36" spans="1:8" x14ac:dyDescent="0.3">
      <c r="A36" s="1">
        <v>44902</v>
      </c>
      <c r="B36" s="1">
        <v>44902</v>
      </c>
      <c r="C36" t="s">
        <v>22</v>
      </c>
      <c r="D36" t="s">
        <v>1</v>
      </c>
      <c r="E36" t="str">
        <f>VLOOKUP(_xlfn.CONCAT(Reservas[[#This Row],[C (Cliente)]]," ",Reservas[[#This Row],[D (Ciudad)]]),Directorio[],4,FALSE)</f>
        <v>Av. Diego Díaz de Berlanga 3600, Sin Nombre de Col 21, 64510 Monterrey, N.L.</v>
      </c>
      <c r="F36">
        <f>VLOOKUP(_xlfn.CONCAT(Reservas[[#This Row],[C (Cliente)]]," ",Reservas[[#This Row],[D (Ciudad)]]),Directorio[],5,FALSE)</f>
        <v>25.708108766990499</v>
      </c>
      <c r="G36">
        <f>VLOOKUP(_xlfn.CONCAT(Reservas[[#This Row],[C (Cliente)]]," ",Reservas[[#This Row],[D (Ciudad)]]),Directorio[],6,FALSE)</f>
        <v>-100.289139169981</v>
      </c>
    </row>
    <row r="37" spans="1:8" x14ac:dyDescent="0.3">
      <c r="A37" s="1">
        <v>45073</v>
      </c>
      <c r="B37" s="1">
        <v>45087</v>
      </c>
      <c r="C37" t="s">
        <v>64</v>
      </c>
      <c r="D37" t="s">
        <v>65</v>
      </c>
      <c r="E37" t="str">
        <f>VLOOKUP(_xlfn.CONCAT(Reservas[[#This Row],[C (Cliente)]]," ",Reservas[[#This Row],[D (Ciudad)]]),Directorio[],4,FALSE)</f>
        <v>Carretera Lauro Villar KM 9.5, Ejido Longoreño, 87540 Heroica Matamoros, Tamps.</v>
      </c>
      <c r="F37">
        <f>VLOOKUP(_xlfn.CONCAT(Reservas[[#This Row],[C (Cliente)]]," ",Reservas[[#This Row],[D (Ciudad)]]),Directorio[],5,FALSE)</f>
        <v>25.837382365842299</v>
      </c>
      <c r="G37">
        <f>VLOOKUP(_xlfn.CONCAT(Reservas[[#This Row],[C (Cliente)]]," ",Reservas[[#This Row],[D (Ciudad)]]),Directorio[],6,FALSE)</f>
        <v>-97.424030815051196</v>
      </c>
    </row>
    <row r="38" spans="1:8" x14ac:dyDescent="0.3">
      <c r="A38" s="1">
        <v>45089</v>
      </c>
      <c r="B38" s="1">
        <v>45101</v>
      </c>
      <c r="C38" t="s">
        <v>0</v>
      </c>
      <c r="D38" t="s">
        <v>1</v>
      </c>
      <c r="E38" t="str">
        <f>VLOOKUP(_xlfn.CONCAT(Reservas[[#This Row],[C (Cliente)]]," ",Reservas[[#This Row],[D (Ciudad)]]),Directorio[],4,FALSE)</f>
        <v>esquina con Luis, Calle Vicente Guerrero, Av. Don Luis G. Sada 3530, Del Nte., 64500 Monterrey, N.L.</v>
      </c>
      <c r="F38">
        <f>VLOOKUP(_xlfn.CONCAT(Reservas[[#This Row],[C (Cliente)]]," ",Reservas[[#This Row],[D (Ciudad)]]),Directorio[],5,FALSE)</f>
        <v>25.712078574619301</v>
      </c>
      <c r="G38">
        <f>VLOOKUP(_xlfn.CONCAT(Reservas[[#This Row],[C (Cliente)]]," ",Reservas[[#This Row],[D (Ciudad)]]),Directorio[],6,FALSE)</f>
        <v>-100.309104333428</v>
      </c>
    </row>
    <row r="39" spans="1:8" x14ac:dyDescent="0.3">
      <c r="A39" s="1">
        <v>45110</v>
      </c>
      <c r="B39" s="1">
        <v>45115</v>
      </c>
      <c r="C39" t="s">
        <v>22</v>
      </c>
      <c r="D39" t="s">
        <v>1</v>
      </c>
      <c r="E39" t="str">
        <f>VLOOKUP(_xlfn.CONCAT(Reservas[[#This Row],[C (Cliente)]]," ",Reservas[[#This Row],[D (Ciudad)]]),Directorio[],4,FALSE)</f>
        <v>Av. Diego Díaz de Berlanga 3600, Sin Nombre de Col 21, 64510 Monterrey, N.L.</v>
      </c>
      <c r="F39">
        <f>VLOOKUP(_xlfn.CONCAT(Reservas[[#This Row],[C (Cliente)]]," ",Reservas[[#This Row],[D (Ciudad)]]),Directorio[],5,FALSE)</f>
        <v>25.708108766990499</v>
      </c>
      <c r="G39">
        <f>VLOOKUP(_xlfn.CONCAT(Reservas[[#This Row],[C (Cliente)]]," ",Reservas[[#This Row],[D (Ciudad)]]),Directorio[],6,FALSE)</f>
        <v>-100.289139169981</v>
      </c>
    </row>
    <row r="40" spans="1:8" x14ac:dyDescent="0.3">
      <c r="A40" s="1">
        <v>45117</v>
      </c>
      <c r="B40" s="1">
        <v>45122</v>
      </c>
      <c r="C40" t="s">
        <v>20</v>
      </c>
      <c r="D40" t="s">
        <v>12</v>
      </c>
      <c r="E40" t="str">
        <f>VLOOKUP(_xlfn.CONCAT(Reservas[[#This Row],[C (Cliente)]]," ",Reservas[[#This Row],[D (Ciudad)]]),Directorio[],4,FALSE)</f>
        <v>Anillo Periférico Sur Esquina, Av. Adolf Bernard Horn Junior Núm. 6372, 45598 San Pedro Tlaquepaque, Jal.</v>
      </c>
      <c r="F40">
        <f>VLOOKUP(_xlfn.CONCAT(Reservas[[#This Row],[C (Cliente)]]," ",Reservas[[#This Row],[D (Ciudad)]]),Directorio[],5,FALSE)</f>
        <v>20.584308233274299</v>
      </c>
      <c r="G40">
        <f>VLOOKUP(_xlfn.CONCAT(Reservas[[#This Row],[C (Cliente)]]," ",Reservas[[#This Row],[D (Ciudad)]]),Directorio[],6,FALSE)</f>
        <v>-103.36278750461</v>
      </c>
    </row>
    <row r="41" spans="1:8" x14ac:dyDescent="0.3">
      <c r="A41" s="1">
        <v>45124</v>
      </c>
      <c r="B41" s="1">
        <v>45129</v>
      </c>
      <c r="C41" t="s">
        <v>0</v>
      </c>
      <c r="D41" t="s">
        <v>12</v>
      </c>
      <c r="E41" t="str">
        <f>VLOOKUP(_xlfn.CONCAT(Reservas[[#This Row],[C (Cliente)]]," ",Reservas[[#This Row],[D (Ciudad)]]),Directorio[],4,FALSE)</f>
        <v>Industrial Park, San Martin Al Verde 520-Nave 12, Colonia, 45620 Guadalajara, Jal.</v>
      </c>
      <c r="F41">
        <f>VLOOKUP(_xlfn.CONCAT(Reservas[[#This Row],[C (Cliente)]]," ",Reservas[[#This Row],[D (Ciudad)]]),Directorio[],5,FALSE)</f>
        <v>20.587716522906799</v>
      </c>
      <c r="G41">
        <f>VLOOKUP(_xlfn.CONCAT(Reservas[[#This Row],[C (Cliente)]]," ",Reservas[[#This Row],[D (Ciudad)]]),Directorio[],6,FALSE)</f>
        <v>-103.28812603542799</v>
      </c>
    </row>
    <row r="42" spans="1:8" x14ac:dyDescent="0.3">
      <c r="A42" s="1">
        <v>45131</v>
      </c>
      <c r="B42" s="1">
        <v>45136</v>
      </c>
      <c r="C42" t="s">
        <v>3</v>
      </c>
      <c r="D42" t="s">
        <v>12</v>
      </c>
      <c r="E42" t="str">
        <f>VLOOKUP(_xlfn.CONCAT(Reservas[[#This Row],[C (Cliente)]]," ",Reservas[[#This Row],[D (Ciudad)]]),Directorio[],4,FALSE)</f>
        <v>Carretera al salto Via La alameda Km.11.5 #300, Predio el Laurel, 45640 Tlajomulco de Zuñiga, Jal.</v>
      </c>
      <c r="F42">
        <f>VLOOKUP(_xlfn.CONCAT(Reservas[[#This Row],[C (Cliente)]]," ",Reservas[[#This Row],[D (Ciudad)]]),Directorio[],5,FALSE)</f>
        <v>20.493493294032799</v>
      </c>
      <c r="G42">
        <f>VLOOKUP(_xlfn.CONCAT(Reservas[[#This Row],[C (Cliente)]]," ",Reservas[[#This Row],[D (Ciudad)]]),Directorio[],6,FALSE)</f>
        <v>-103.261603620983</v>
      </c>
    </row>
    <row r="43" spans="1:8" x14ac:dyDescent="0.3">
      <c r="A43" s="1">
        <v>45138</v>
      </c>
      <c r="B43" s="1">
        <v>45143</v>
      </c>
      <c r="C43" t="s">
        <v>16</v>
      </c>
      <c r="D43" t="s">
        <v>12</v>
      </c>
      <c r="E43" t="str">
        <f>VLOOKUP(_xlfn.CONCAT(Reservas[[#This Row],[C (Cliente)]]," ",Reservas[[#This Row],[D (Ciudad)]]),Directorio[],4,FALSE)</f>
        <v>Anillo Perif. Sur Manuel Gómez Morín, La Piedrera, 45580 San Pedro Tlaquepaque, Jal.</v>
      </c>
      <c r="F43">
        <f>VLOOKUP(_xlfn.CONCAT(Reservas[[#This Row],[C (Cliente)]]," ",Reservas[[#This Row],[D (Ciudad)]]),Directorio[],5,FALSE)</f>
        <v>20.602177218828899</v>
      </c>
      <c r="G43">
        <f>VLOOKUP(_xlfn.CONCAT(Reservas[[#This Row],[C (Cliente)]]," ",Reservas[[#This Row],[D (Ciudad)]]),Directorio[],6,FALSE)</f>
        <v>-103.30689456578899</v>
      </c>
    </row>
    <row r="44" spans="1:8" x14ac:dyDescent="0.3">
      <c r="A44" s="1">
        <v>45145</v>
      </c>
      <c r="B44" s="1">
        <v>45150</v>
      </c>
      <c r="C44" t="s">
        <v>22</v>
      </c>
      <c r="D44" t="s">
        <v>12</v>
      </c>
      <c r="E44" t="str">
        <f>VLOOKUP(_xlfn.CONCAT(Reservas[[#This Row],[C (Cliente)]]," ",Reservas[[#This Row],[D (Ciudad)]]),Directorio[],4,FALSE)</f>
        <v>Av. Patria 269, El Manantial, 44470 Guadalajara, Jal.</v>
      </c>
      <c r="F44">
        <f>VLOOKUP(_xlfn.CONCAT(Reservas[[#This Row],[C (Cliente)]]," ",Reservas[[#This Row],[D (Ciudad)]]),Directorio[],5,FALSE)</f>
        <v>20.622401784193201</v>
      </c>
      <c r="G44">
        <f>VLOOKUP(_xlfn.CONCAT(Reservas[[#This Row],[C (Cliente)]]," ",Reservas[[#This Row],[D (Ciudad)]]),Directorio[],6,FALSE)</f>
        <v>-103.34534335798899</v>
      </c>
    </row>
    <row r="45" spans="1:8" x14ac:dyDescent="0.3">
      <c r="A45" s="1">
        <v>45152</v>
      </c>
      <c r="B45" s="1">
        <v>45154</v>
      </c>
      <c r="C45" t="s">
        <v>52</v>
      </c>
      <c r="D45" t="s">
        <v>53</v>
      </c>
      <c r="E45" t="str">
        <f>VLOOKUP(_xlfn.CONCAT(Reservas[[#This Row],[C (Cliente)]]," ",Reservas[[#This Row],[D (Ciudad)]]),Directorio[],4,FALSE)</f>
        <v>Carretera Amealco, Hacienda Galindo Km 5.5, 76820 San Juan del Río, Qro.</v>
      </c>
      <c r="F45">
        <f>VLOOKUP(_xlfn.CONCAT(Reservas[[#This Row],[C (Cliente)]]," ",Reservas[[#This Row],[D (Ciudad)]]),Directorio[],5,FALSE)</f>
        <v>20.396790604230599</v>
      </c>
      <c r="G45">
        <f>VLOOKUP(_xlfn.CONCAT(Reservas[[#This Row],[C (Cliente)]]," ",Reservas[[#This Row],[D (Ciudad)]]),Directorio[],6,FALSE)</f>
        <v>-100.09452334269299</v>
      </c>
      <c r="H45" t="s">
        <v>112</v>
      </c>
    </row>
    <row r="46" spans="1:8" x14ac:dyDescent="0.3">
      <c r="A46" s="1">
        <v>45159</v>
      </c>
      <c r="B46" s="1">
        <v>45164</v>
      </c>
      <c r="C46" t="s">
        <v>57</v>
      </c>
      <c r="D46" t="s">
        <v>58</v>
      </c>
      <c r="E46" t="str">
        <f>VLOOKUP(_xlfn.CONCAT(Reservas[[#This Row],[C (Cliente)]]," ",Reservas[[#This Row],[D (Ciudad)]]),Directorio[],4,FALSE)</f>
        <v>Blvd. Tultitlán Pte. 183, Los Reyes, 54900 Tultitlán de Mariano Escobedo, Méx.</v>
      </c>
      <c r="F46">
        <f>VLOOKUP(_xlfn.CONCAT(Reservas[[#This Row],[C (Cliente)]]," ",Reservas[[#This Row],[D (Ciudad)]]),Directorio[],5,FALSE)</f>
        <v>19.6366170850015</v>
      </c>
      <c r="G46">
        <f>VLOOKUP(_xlfn.CONCAT(Reservas[[#This Row],[C (Cliente)]]," ",Reservas[[#This Row],[D (Ciudad)]]),Directorio[],6,FALSE)</f>
        <v>-99.164645635278802</v>
      </c>
    </row>
    <row r="47" spans="1:8" x14ac:dyDescent="0.3">
      <c r="A47" s="1">
        <v>45166</v>
      </c>
      <c r="B47" s="1">
        <v>45178</v>
      </c>
      <c r="C47" t="s">
        <v>68</v>
      </c>
      <c r="D47" t="s">
        <v>69</v>
      </c>
      <c r="E47" t="str">
        <f>VLOOKUP(_xlfn.CONCAT(Reservas[[#This Row],[C (Cliente)]]," ",Reservas[[#This Row],[D (Ciudad)]]),Directorio[],4,FALSE)</f>
        <v>Calle 1 S/N, 56300 Tequisistlán, Méx.</v>
      </c>
      <c r="F47">
        <f>VLOOKUP(_xlfn.CONCAT(Reservas[[#This Row],[C (Cliente)]]," ",Reservas[[#This Row],[D (Ciudad)]]),Directorio[],5,FALSE)</f>
        <v>19.609487325453902</v>
      </c>
      <c r="G47">
        <f>VLOOKUP(_xlfn.CONCAT(Reservas[[#This Row],[C (Cliente)]]," ",Reservas[[#This Row],[D (Ciudad)]]),Directorio[],6,FALSE)</f>
        <v>-98.946322079826402</v>
      </c>
    </row>
    <row r="48" spans="1:8" x14ac:dyDescent="0.3">
      <c r="A48" s="1">
        <v>45180</v>
      </c>
      <c r="B48" s="1">
        <v>45192</v>
      </c>
      <c r="C48" t="s">
        <v>71</v>
      </c>
      <c r="D48" t="s">
        <v>24</v>
      </c>
      <c r="E48" t="str">
        <f>VLOOKUP(_xlfn.CONCAT(Reservas[[#This Row],[C (Cliente)]]," ",Reservas[[#This Row],[D (Ciudad)]]),Directorio[],4,FALSE)</f>
        <v>Manzana 022, Santa Barbara, 54713 Cuautitlán Izcalli, Méx.</v>
      </c>
      <c r="F48">
        <f>VLOOKUP(_xlfn.CONCAT(Reservas[[#This Row],[C (Cliente)]]," ",Reservas[[#This Row],[D (Ciudad)]]),Directorio[],5,FALSE)</f>
        <v>19.714384181256001</v>
      </c>
      <c r="G48">
        <f>VLOOKUP(_xlfn.CONCAT(Reservas[[#This Row],[C (Cliente)]]," ",Reservas[[#This Row],[D (Ciudad)]]),Directorio[],6,FALSE)</f>
        <v>-99.191213520108505</v>
      </c>
    </row>
    <row r="49" spans="1:7" x14ac:dyDescent="0.3">
      <c r="A49" s="1">
        <v>45194</v>
      </c>
      <c r="B49" s="1">
        <v>45199</v>
      </c>
      <c r="C49" t="s">
        <v>22</v>
      </c>
      <c r="D49" t="s">
        <v>73</v>
      </c>
      <c r="E49" t="str">
        <f>VLOOKUP(_xlfn.CONCAT(Reservas[[#This Row],[C (Cliente)]]," ",Reservas[[#This Row],[D (Ciudad)]]),Directorio[],4,FALSE)</f>
        <v>Libramiento Huichapan Kilómetro 6 Sn, Sta Bárbara, 42405 Huichapan, Hgo.</v>
      </c>
      <c r="F49">
        <f>VLOOKUP(_xlfn.CONCAT(Reservas[[#This Row],[C (Cliente)]]," ",Reservas[[#This Row],[D (Ciudad)]]),Directorio[],5,FALSE)</f>
        <v>20.385165019499802</v>
      </c>
      <c r="G49">
        <f>VLOOKUP(_xlfn.CONCAT(Reservas[[#This Row],[C (Cliente)]]," ",Reservas[[#This Row],[D (Ciudad)]]),Directorio[],6,FALSE)</f>
        <v>-99.654596587556995</v>
      </c>
    </row>
    <row r="50" spans="1:7" x14ac:dyDescent="0.3">
      <c r="A50" s="1">
        <v>45208</v>
      </c>
      <c r="B50" s="1">
        <v>45213</v>
      </c>
      <c r="C50" t="s">
        <v>3</v>
      </c>
      <c r="D50" t="s">
        <v>24</v>
      </c>
      <c r="E50" t="str">
        <f>VLOOKUP(_xlfn.CONCAT(Reservas[[#This Row],[C (Cliente)]]," ",Reservas[[#This Row],[D (Ciudad)]]),Directorio[],4,FALSE)</f>
        <v>Cristóbal Colón 31, Texcacoa, 54600 Tepotzotlán, Méx.</v>
      </c>
      <c r="F50">
        <f>VLOOKUP(_xlfn.CONCAT(Reservas[[#This Row],[C (Cliente)]]," ",Reservas[[#This Row],[D (Ciudad)]]),Directorio[],5,FALSE)</f>
        <v>19.708160108808801</v>
      </c>
      <c r="G50">
        <f>VLOOKUP(_xlfn.CONCAT(Reservas[[#This Row],[C (Cliente)]]," ",Reservas[[#This Row],[D (Ciudad)]]),Directorio[],6,FALSE)</f>
        <v>-99.217776878897595</v>
      </c>
    </row>
    <row r="51" spans="1:7" x14ac:dyDescent="0.3">
      <c r="A51" s="1">
        <v>45215</v>
      </c>
      <c r="B51" s="1">
        <v>45220</v>
      </c>
      <c r="C51" t="s">
        <v>0</v>
      </c>
      <c r="D51" t="s">
        <v>24</v>
      </c>
      <c r="E51" t="str">
        <f>VLOOKUP(_xlfn.CONCAT(Reservas[[#This Row],[C (Cliente)]]," ",Reservas[[#This Row],[D (Ciudad)]]),Directorio[],4,FALSE)</f>
        <v>Fraccion B, Fraccion I, Bodega 12-A San Jose la Teja, 54607 Tepotzotlán, Méx.</v>
      </c>
      <c r="F51">
        <f>VLOOKUP(_xlfn.CONCAT(Reservas[[#This Row],[C (Cliente)]]," ",Reservas[[#This Row],[D (Ciudad)]]),Directorio[],5,FALSE)</f>
        <v>19.734602450529302</v>
      </c>
      <c r="G51">
        <f>VLOOKUP(_xlfn.CONCAT(Reservas[[#This Row],[C (Cliente)]]," ",Reservas[[#This Row],[D (Ciudad)]]),Directorio[],6,FALSE)</f>
        <v>-99.211515604765395</v>
      </c>
    </row>
    <row r="52" spans="1:7" x14ac:dyDescent="0.3">
      <c r="A52" s="1">
        <v>45223</v>
      </c>
      <c r="B52" s="1">
        <v>45226</v>
      </c>
      <c r="C52" t="s">
        <v>35</v>
      </c>
      <c r="D52" t="s">
        <v>34</v>
      </c>
      <c r="E52" t="str">
        <f>VLOOKUP(_xlfn.CONCAT(Reservas[[#This Row],[C (Cliente)]]," ",Reservas[[#This Row],[D (Ciudad)]]),Directorio[],4,FALSE)</f>
        <v>Carlos B. Zetina 401, Industrial Xalostoc, 55348 Ecatepec de Morelos, Méx.</v>
      </c>
      <c r="F52">
        <f>VLOOKUP(_xlfn.CONCAT(Reservas[[#This Row],[C (Cliente)]]," ",Reservas[[#This Row],[D (Ciudad)]]),Directorio[],5,FALSE)</f>
        <v>19.515264391003999</v>
      </c>
      <c r="G52">
        <f>VLOOKUP(_xlfn.CONCAT(Reservas[[#This Row],[C (Cliente)]]," ",Reservas[[#This Row],[D (Ciudad)]]),Directorio[],6,FALSE)</f>
        <v>-99.079513753780802</v>
      </c>
    </row>
    <row r="53" spans="1:7" x14ac:dyDescent="0.3">
      <c r="A53" s="1">
        <v>45230</v>
      </c>
      <c r="B53" s="1">
        <v>45237</v>
      </c>
      <c r="C53" t="s">
        <v>5</v>
      </c>
      <c r="D53" t="s">
        <v>76</v>
      </c>
      <c r="E53" t="str">
        <f>VLOOKUP(_xlfn.CONCAT(Reservas[[#This Row],[C (Cliente)]]," ",Reservas[[#This Row],[D (Ciudad)]]),Directorio[],4,FALSE)</f>
        <v>Calz. Aeropuerto 5501, Gasolinera del Valle, Bachigualato, 80140 Culiacán Rosales, Sin.</v>
      </c>
      <c r="F53">
        <f>VLOOKUP(_xlfn.CONCAT(Reservas[[#This Row],[C (Cliente)]]," ",Reservas[[#This Row],[D (Ciudad)]]),Directorio[],5,FALSE)</f>
        <v>25.631621560698498</v>
      </c>
      <c r="G53">
        <f>VLOOKUP(_xlfn.CONCAT(Reservas[[#This Row],[C (Cliente)]]," ",Reservas[[#This Row],[D (Ciudad)]]),Directorio[],6,FALSE)</f>
        <v>-107.426059908095</v>
      </c>
    </row>
    <row r="54" spans="1:7" x14ac:dyDescent="0.3">
      <c r="A54" s="1">
        <v>45243</v>
      </c>
      <c r="B54" s="1">
        <v>45247</v>
      </c>
      <c r="C54" t="s">
        <v>5</v>
      </c>
      <c r="D54" t="s">
        <v>78</v>
      </c>
      <c r="E54" t="str">
        <f>VLOOKUP(_xlfn.CONCAT(Reservas[[#This Row],[C (Cliente)]]," ",Reservas[[#This Row],[D (Ciudad)]]),Directorio[],4,FALSE)</f>
        <v>Avenida Cristobal Colón 18701, Embotelladora Coca Cola, 31109 Chihuahua, Chih.</v>
      </c>
      <c r="F54">
        <f>VLOOKUP(_xlfn.CONCAT(Reservas[[#This Row],[C (Cliente)]]," ",Reservas[[#This Row],[D (Ciudad)]]),Directorio[],5,FALSE)</f>
        <v>29.677259056770801</v>
      </c>
      <c r="G54">
        <f>VLOOKUP(_xlfn.CONCAT(Reservas[[#This Row],[C (Cliente)]]," ",Reservas[[#This Row],[D (Ciudad)]]),Directorio[],6,FALSE)</f>
        <v>-106.223913964133</v>
      </c>
    </row>
    <row r="55" spans="1:7" x14ac:dyDescent="0.3">
      <c r="A55" s="1">
        <v>45299</v>
      </c>
      <c r="B55" s="1">
        <v>45310</v>
      </c>
      <c r="C55" t="s">
        <v>80</v>
      </c>
      <c r="D55" t="s">
        <v>46</v>
      </c>
      <c r="E55" t="str">
        <f>VLOOKUP(_xlfn.CONCAT(Reservas[[#This Row],[C (Cliente)]]," ",Reservas[[#This Row],[D (Ciudad)]]),Directorio[],4,FALSE)</f>
        <v>Parque Industrial, Av. 1 Lote 3-A, Valle de Orizaba, 94780 Ver.</v>
      </c>
      <c r="F55">
        <f>VLOOKUP(_xlfn.CONCAT(Reservas[[#This Row],[C (Cliente)]]," ",Reservas[[#This Row],[D (Ciudad)]]),Directorio[],5,FALSE)</f>
        <v>18.832324308789602</v>
      </c>
      <c r="G55">
        <f>VLOOKUP(_xlfn.CONCAT(Reservas[[#This Row],[C (Cliente)]]," ",Reservas[[#This Row],[D (Ciudad)]]),Directorio[],6,FALSE)</f>
        <v>-97.105547789444699</v>
      </c>
    </row>
    <row r="56" spans="1:7" x14ac:dyDescent="0.3">
      <c r="A56" s="1">
        <v>45313</v>
      </c>
      <c r="B56" s="1">
        <v>45324</v>
      </c>
      <c r="C56" t="s">
        <v>82</v>
      </c>
      <c r="D56" t="s">
        <v>83</v>
      </c>
      <c r="E56" t="str">
        <f>VLOOKUP(_xlfn.CONCAT(Reservas[[#This Row],[C (Cliente)]]," ",Reservas[[#This Row],[D (Ciudad)]]),Directorio[],4,FALSE)</f>
        <v>Kilometro 334, Córdoba - Fortín de las Flores, Crucero Nacional, 94470 Córdoba, Ver.</v>
      </c>
      <c r="F56">
        <f>VLOOKUP(_xlfn.CONCAT(Reservas[[#This Row],[C (Cliente)]]," ",Reservas[[#This Row],[D (Ciudad)]]),Directorio[],5,FALSE)</f>
        <v>18.9035099354514</v>
      </c>
      <c r="G56">
        <f>VLOOKUP(_xlfn.CONCAT(Reservas[[#This Row],[C (Cliente)]]," ",Reservas[[#This Row],[D (Ciudad)]]),Directorio[],6,FALSE)</f>
        <v>-96.981660102936104</v>
      </c>
    </row>
    <row r="57" spans="1:7" x14ac:dyDescent="0.3">
      <c r="A57" s="1">
        <v>45334</v>
      </c>
      <c r="B57" s="1">
        <v>45339</v>
      </c>
      <c r="C57" t="s">
        <v>71</v>
      </c>
      <c r="D57" t="s">
        <v>24</v>
      </c>
      <c r="E57" t="str">
        <f>VLOOKUP(_xlfn.CONCAT(Reservas[[#This Row],[C (Cliente)]]," ",Reservas[[#This Row],[D (Ciudad)]]),Directorio[],4,FALSE)</f>
        <v>Manzana 022, Santa Barbara, 54713 Cuautitlán Izcalli, Méx.</v>
      </c>
      <c r="F57">
        <f>VLOOKUP(_xlfn.CONCAT(Reservas[[#This Row],[C (Cliente)]]," ",Reservas[[#This Row],[D (Ciudad)]]),Directorio[],5,FALSE)</f>
        <v>19.714384181256001</v>
      </c>
      <c r="G57">
        <f>VLOOKUP(_xlfn.CONCAT(Reservas[[#This Row],[C (Cliente)]]," ",Reservas[[#This Row],[D (Ciudad)]]),Directorio[],6,FALSE)</f>
        <v>-99.191213520108505</v>
      </c>
    </row>
    <row r="58" spans="1:7" x14ac:dyDescent="0.3">
      <c r="A58" s="1">
        <v>45341</v>
      </c>
      <c r="B58" s="1">
        <v>45357</v>
      </c>
      <c r="C58" t="s">
        <v>85</v>
      </c>
      <c r="D58" t="s">
        <v>34</v>
      </c>
      <c r="E58" t="str">
        <f>VLOOKUP(_xlfn.CONCAT(Reservas[[#This Row],[C (Cliente)]]," ",Reservas[[#This Row],[D (Ciudad)]]),Directorio[],4,FALSE)</f>
        <v>Vía Morelos 268, Sta Maria Tulpetlac, 55400 Ecatepec de Morelos, Méx.</v>
      </c>
      <c r="F58">
        <f>VLOOKUP(_xlfn.CONCAT(Reservas[[#This Row],[C (Cliente)]]," ",Reservas[[#This Row],[D (Ciudad)]]),Directorio[],5,FALSE)</f>
        <v>19.563349824022801</v>
      </c>
      <c r="G58">
        <f>VLOOKUP(_xlfn.CONCAT(Reservas[[#This Row],[C (Cliente)]]," ",Reservas[[#This Row],[D (Ciudad)]]),Directorio[],6,FALSE)</f>
        <v>-99.043461191276606</v>
      </c>
    </row>
    <row r="59" spans="1:7" x14ac:dyDescent="0.3">
      <c r="A59" s="1">
        <v>45358</v>
      </c>
      <c r="B59" s="1">
        <v>45372</v>
      </c>
      <c r="C59" t="s">
        <v>68</v>
      </c>
      <c r="D59" t="s">
        <v>69</v>
      </c>
      <c r="E59" t="str">
        <f>VLOOKUP(_xlfn.CONCAT(Reservas[[#This Row],[C (Cliente)]]," ",Reservas[[#This Row],[D (Ciudad)]]),Directorio[],4,FALSE)</f>
        <v>Calle 1 S/N, 56300 Tequisistlán, Méx.</v>
      </c>
      <c r="F59">
        <f>VLOOKUP(_xlfn.CONCAT(Reservas[[#This Row],[C (Cliente)]]," ",Reservas[[#This Row],[D (Ciudad)]]),Directorio[],5,FALSE)</f>
        <v>19.609487325453902</v>
      </c>
      <c r="G59">
        <f>VLOOKUP(_xlfn.CONCAT(Reservas[[#This Row],[C (Cliente)]]," ",Reservas[[#This Row],[D (Ciudad)]]),Directorio[],6,FALSE)</f>
        <v>-98.946322079826402</v>
      </c>
    </row>
    <row r="60" spans="1:7" x14ac:dyDescent="0.3">
      <c r="A60" s="1">
        <v>45404</v>
      </c>
      <c r="B60" s="1">
        <v>45409</v>
      </c>
      <c r="C60" t="s">
        <v>0</v>
      </c>
      <c r="D60" t="s">
        <v>1</v>
      </c>
      <c r="E60" t="str">
        <f>VLOOKUP(_xlfn.CONCAT(Reservas[[#This Row],[C (Cliente)]]," ",Reservas[[#This Row],[D (Ciudad)]]),Directorio[],4,FALSE)</f>
        <v>esquina con Luis, Calle Vicente Guerrero, Av. Don Luis G. Sada 3530, Del Nte., 64500 Monterrey, N.L.</v>
      </c>
      <c r="F60">
        <f>VLOOKUP(_xlfn.CONCAT(Reservas[[#This Row],[C (Cliente)]]," ",Reservas[[#This Row],[D (Ciudad)]]),Directorio[],5,FALSE)</f>
        <v>25.712078574619301</v>
      </c>
      <c r="G60">
        <f>VLOOKUP(_xlfn.CONCAT(Reservas[[#This Row],[C (Cliente)]]," ",Reservas[[#This Row],[D (Ciudad)]]),Directorio[],6,FALSE)</f>
        <v>-100.309104333428</v>
      </c>
    </row>
    <row r="61" spans="1:7" x14ac:dyDescent="0.3">
      <c r="A61" s="1">
        <v>45425</v>
      </c>
      <c r="B61" s="1">
        <v>45430</v>
      </c>
      <c r="C61" t="s">
        <v>71</v>
      </c>
      <c r="D61" t="s">
        <v>24</v>
      </c>
      <c r="E61" t="str">
        <f>VLOOKUP(_xlfn.CONCAT(Reservas[[#This Row],[C (Cliente)]]," ",Reservas[[#This Row],[D (Ciudad)]]),Directorio[],4,FALSE)</f>
        <v>Manzana 022, Santa Barbara, 54713 Cuautitlán Izcalli, Méx.</v>
      </c>
      <c r="F61">
        <f>VLOOKUP(_xlfn.CONCAT(Reservas[[#This Row],[C (Cliente)]]," ",Reservas[[#This Row],[D (Ciudad)]]),Directorio[],5,FALSE)</f>
        <v>19.714384181256001</v>
      </c>
      <c r="G61">
        <f>VLOOKUP(_xlfn.CONCAT(Reservas[[#This Row],[C (Cliente)]]," ",Reservas[[#This Row],[D (Ciudad)]]),Directorio[],6,FALSE)</f>
        <v>-99.191213520108505</v>
      </c>
    </row>
    <row r="62" spans="1:7" x14ac:dyDescent="0.3">
      <c r="A62" s="1">
        <v>45453</v>
      </c>
      <c r="B62" s="1">
        <v>45458</v>
      </c>
      <c r="C62" t="s">
        <v>16</v>
      </c>
      <c r="D62" t="s">
        <v>12</v>
      </c>
      <c r="E62" t="str">
        <f>VLOOKUP(_xlfn.CONCAT(Reservas[[#This Row],[C (Cliente)]]," ",Reservas[[#This Row],[D (Ciudad)]]),Directorio[],4,FALSE)</f>
        <v>Anillo Perif. Sur Manuel Gómez Morín, La Piedrera, 45580 San Pedro Tlaquepaque, Jal.</v>
      </c>
      <c r="F62">
        <f>VLOOKUP(_xlfn.CONCAT(Reservas[[#This Row],[C (Cliente)]]," ",Reservas[[#This Row],[D (Ciudad)]]),Directorio[],5,FALSE)</f>
        <v>20.602177218828899</v>
      </c>
      <c r="G62">
        <f>VLOOKUP(_xlfn.CONCAT(Reservas[[#This Row],[C (Cliente)]]," ",Reservas[[#This Row],[D (Ciudad)]]),Directorio[],6,FALSE)</f>
        <v>-103.30689456578899</v>
      </c>
    </row>
    <row r="63" spans="1:7" x14ac:dyDescent="0.3">
      <c r="A63" s="1">
        <v>45460</v>
      </c>
      <c r="B63" s="1">
        <v>45465</v>
      </c>
      <c r="C63" t="s">
        <v>0</v>
      </c>
      <c r="D63" t="s">
        <v>12</v>
      </c>
      <c r="E63" t="str">
        <f>VLOOKUP(_xlfn.CONCAT(Reservas[[#This Row],[C (Cliente)]]," ",Reservas[[#This Row],[D (Ciudad)]]),Directorio[],4,FALSE)</f>
        <v>Industrial Park, San Martin Al Verde 520-Nave 12, Colonia, 45620 Guadalajara, Jal.</v>
      </c>
      <c r="F63">
        <f>VLOOKUP(_xlfn.CONCAT(Reservas[[#This Row],[C (Cliente)]]," ",Reservas[[#This Row],[D (Ciudad)]]),Directorio[],5,FALSE)</f>
        <v>20.587716522906799</v>
      </c>
      <c r="G63">
        <f>VLOOKUP(_xlfn.CONCAT(Reservas[[#This Row],[C (Cliente)]]," ",Reservas[[#This Row],[D (Ciudad)]]),Directorio[],6,FALSE)</f>
        <v>-103.28812603542799</v>
      </c>
    </row>
    <row r="64" spans="1:7" x14ac:dyDescent="0.3">
      <c r="A64" s="1">
        <v>45481</v>
      </c>
      <c r="B64" s="1">
        <v>45496</v>
      </c>
      <c r="C64" t="s">
        <v>64</v>
      </c>
      <c r="D64" t="s">
        <v>65</v>
      </c>
      <c r="E64" t="str">
        <f>VLOOKUP(_xlfn.CONCAT(Reservas[[#This Row],[C (Cliente)]]," ",Reservas[[#This Row],[D (Ciudad)]]),Directorio[],4,FALSE)</f>
        <v>Carretera Lauro Villar KM 9.5, Ejido Longoreño, 87540 Heroica Matamoros, Tamps.</v>
      </c>
      <c r="F64">
        <f>VLOOKUP(_xlfn.CONCAT(Reservas[[#This Row],[C (Cliente)]]," ",Reservas[[#This Row],[D (Ciudad)]]),Directorio[],5,FALSE)</f>
        <v>25.837382365842299</v>
      </c>
      <c r="G64">
        <f>VLOOKUP(_xlfn.CONCAT(Reservas[[#This Row],[C (Cliente)]]," ",Reservas[[#This Row],[D (Ciudad)]]),Directorio[],6,FALSE)</f>
        <v>-97.424030815051196</v>
      </c>
    </row>
    <row r="65" spans="1:8" x14ac:dyDescent="0.3">
      <c r="A65" s="1">
        <v>45516</v>
      </c>
      <c r="B65" s="1">
        <v>45521</v>
      </c>
      <c r="C65" t="s">
        <v>0</v>
      </c>
      <c r="D65" t="s">
        <v>8</v>
      </c>
      <c r="E65" t="str">
        <f>VLOOKUP(_xlfn.CONCAT(Reservas[[#This Row],[C (Cliente)]]," ",Reservas[[#This Row],[D (Ciudad)]]),Directorio[],4,FALSE)</f>
        <v>Carretera Federal 57, P.º de la República No. 7501 Km. 187, Ejido Arroyos, 78395 San Luis Potosí</v>
      </c>
      <c r="F65">
        <f>VLOOKUP(_xlfn.CONCAT(Reservas[[#This Row],[C (Cliente)]]," ",Reservas[[#This Row],[D (Ciudad)]]),Directorio[],5,FALSE)</f>
        <v>22.055093557790599</v>
      </c>
      <c r="G65">
        <f>VLOOKUP(_xlfn.CONCAT(Reservas[[#This Row],[C (Cliente)]]," ",Reservas[[#This Row],[D (Ciudad)]]),Directorio[],6,FALSE)</f>
        <v>-100.860614961081</v>
      </c>
    </row>
    <row r="66" spans="1:8" x14ac:dyDescent="0.3">
      <c r="A66" s="1">
        <v>45523</v>
      </c>
      <c r="B66" s="1">
        <v>45523</v>
      </c>
      <c r="C66" t="s">
        <v>35</v>
      </c>
      <c r="D66" t="s">
        <v>34</v>
      </c>
      <c r="E66" t="str">
        <f>VLOOKUP(_xlfn.CONCAT(Reservas[[#This Row],[C (Cliente)]]," ",Reservas[[#This Row],[D (Ciudad)]]),Directorio[],4,FALSE)</f>
        <v>Carlos B. Zetina 401, Industrial Xalostoc, 55348 Ecatepec de Morelos, Méx.</v>
      </c>
      <c r="F66">
        <f>VLOOKUP(_xlfn.CONCAT(Reservas[[#This Row],[C (Cliente)]]," ",Reservas[[#This Row],[D (Ciudad)]]),Directorio[],5,FALSE)</f>
        <v>19.515264391003999</v>
      </c>
      <c r="G66">
        <f>VLOOKUP(_xlfn.CONCAT(Reservas[[#This Row],[C (Cliente)]]," ",Reservas[[#This Row],[D (Ciudad)]]),Directorio[],6,FALSE)</f>
        <v>-99.079513753780802</v>
      </c>
    </row>
    <row r="67" spans="1:8" x14ac:dyDescent="0.3">
      <c r="A67" s="1">
        <v>45524</v>
      </c>
      <c r="B67" s="1">
        <v>45524</v>
      </c>
      <c r="C67" t="s">
        <v>10</v>
      </c>
      <c r="D67" t="s">
        <v>26</v>
      </c>
      <c r="E67" t="str">
        <f>VLOOKUP(_xlfn.CONCAT(Reservas[[#This Row],[C (Cliente)]]," ",Reservas[[#This Row],[D (Ciudad)]]),Directorio[],4,FALSE)</f>
        <v>Anillo Perif. 14180, Área Federal Complejo de Telefonía, Iztapalapa, 09208 Ciudad de México, CDMX</v>
      </c>
      <c r="F67">
        <f>VLOOKUP(_xlfn.CONCAT(Reservas[[#This Row],[C (Cliente)]]," ",Reservas[[#This Row],[D (Ciudad)]]),Directorio[],5,FALSE)</f>
        <v>19.370978498078699</v>
      </c>
      <c r="G67">
        <f>VLOOKUP(_xlfn.CONCAT(Reservas[[#This Row],[C (Cliente)]]," ",Reservas[[#This Row],[D (Ciudad)]]),Directorio[],6,FALSE)</f>
        <v>-99.058308106834403</v>
      </c>
      <c r="H67" t="s">
        <v>112</v>
      </c>
    </row>
    <row r="68" spans="1:8" x14ac:dyDescent="0.3">
      <c r="A68" s="1">
        <v>45525</v>
      </c>
      <c r="B68" s="1">
        <v>45527</v>
      </c>
      <c r="C68" t="s">
        <v>35</v>
      </c>
      <c r="D68" t="s">
        <v>34</v>
      </c>
      <c r="E68" t="str">
        <f>VLOOKUP(_xlfn.CONCAT(Reservas[[#This Row],[C (Cliente)]]," ",Reservas[[#This Row],[D (Ciudad)]]),Directorio[],4,FALSE)</f>
        <v>Carlos B. Zetina 401, Industrial Xalostoc, 55348 Ecatepec de Morelos, Méx.</v>
      </c>
      <c r="F68">
        <f>VLOOKUP(_xlfn.CONCAT(Reservas[[#This Row],[C (Cliente)]]," ",Reservas[[#This Row],[D (Ciudad)]]),Directorio[],5,FALSE)</f>
        <v>19.515264391003999</v>
      </c>
      <c r="G68">
        <f>VLOOKUP(_xlfn.CONCAT(Reservas[[#This Row],[C (Cliente)]]," ",Reservas[[#This Row],[D (Ciudad)]]),Directorio[],6,FALSE)</f>
        <v>-99.079513753780802</v>
      </c>
    </row>
    <row r="69" spans="1:8" x14ac:dyDescent="0.3">
      <c r="A69" s="1">
        <v>45530</v>
      </c>
      <c r="B69" s="1">
        <v>45532</v>
      </c>
      <c r="C69" t="s">
        <v>52</v>
      </c>
      <c r="D69" t="s">
        <v>53</v>
      </c>
      <c r="E69" t="str">
        <f>VLOOKUP(_xlfn.CONCAT(Reservas[[#This Row],[C (Cliente)]]," ",Reservas[[#This Row],[D (Ciudad)]]),Directorio[],4,FALSE)</f>
        <v>Carretera Amealco, Hacienda Galindo Km 5.5, 76820 San Juan del Río, Qro.</v>
      </c>
      <c r="F69">
        <f>VLOOKUP(_xlfn.CONCAT(Reservas[[#This Row],[C (Cliente)]]," ",Reservas[[#This Row],[D (Ciudad)]]),Directorio[],5,FALSE)</f>
        <v>20.396790604230599</v>
      </c>
      <c r="G69">
        <f>VLOOKUP(_xlfn.CONCAT(Reservas[[#This Row],[C (Cliente)]]," ",Reservas[[#This Row],[D (Ciudad)]]),Directorio[],6,FALSE)</f>
        <v>-100.09452334269299</v>
      </c>
      <c r="H69" t="s">
        <v>112</v>
      </c>
    </row>
    <row r="70" spans="1:8" x14ac:dyDescent="0.3">
      <c r="A70" s="1">
        <v>45537</v>
      </c>
      <c r="B70" s="1">
        <v>45542</v>
      </c>
      <c r="C70" t="s">
        <v>71</v>
      </c>
      <c r="D70" t="s">
        <v>24</v>
      </c>
      <c r="E70" t="str">
        <f>VLOOKUP(_xlfn.CONCAT(Reservas[[#This Row],[C (Cliente)]]," ",Reservas[[#This Row],[D (Ciudad)]]),Directorio[],4,FALSE)</f>
        <v>Manzana 022, Santa Barbara, 54713 Cuautitlán Izcalli, Méx.</v>
      </c>
      <c r="F70">
        <f>VLOOKUP(_xlfn.CONCAT(Reservas[[#This Row],[C (Cliente)]]," ",Reservas[[#This Row],[D (Ciudad)]]),Directorio[],5,FALSE)</f>
        <v>19.714384181256001</v>
      </c>
      <c r="G70">
        <f>VLOOKUP(_xlfn.CONCAT(Reservas[[#This Row],[C (Cliente)]]," ",Reservas[[#This Row],[D (Ciudad)]]),Directorio[],6,FALSE)</f>
        <v>-99.191213520108505</v>
      </c>
    </row>
    <row r="71" spans="1:8" x14ac:dyDescent="0.3">
      <c r="A71" s="1">
        <v>45544</v>
      </c>
      <c r="B71" s="1">
        <v>45548</v>
      </c>
      <c r="C71" t="s">
        <v>3</v>
      </c>
      <c r="D71" t="s">
        <v>24</v>
      </c>
      <c r="E71" t="str">
        <f>VLOOKUP(_xlfn.CONCAT(Reservas[[#This Row],[C (Cliente)]]," ",Reservas[[#This Row],[D (Ciudad)]]),Directorio[],4,FALSE)</f>
        <v>Cristóbal Colón 31, Texcacoa, 54600 Tepotzotlán, Méx.</v>
      </c>
      <c r="F71">
        <f>VLOOKUP(_xlfn.CONCAT(Reservas[[#This Row],[C (Cliente)]]," ",Reservas[[#This Row],[D (Ciudad)]]),Directorio[],5,FALSE)</f>
        <v>19.708160108808801</v>
      </c>
      <c r="G71">
        <f>VLOOKUP(_xlfn.CONCAT(Reservas[[#This Row],[C (Cliente)]]," ",Reservas[[#This Row],[D (Ciudad)]]),Directorio[],6,FALSE)</f>
        <v>-99.217776878897595</v>
      </c>
    </row>
    <row r="72" spans="1:8" x14ac:dyDescent="0.3">
      <c r="A72" s="1">
        <v>45558</v>
      </c>
      <c r="B72" s="1">
        <v>45562</v>
      </c>
      <c r="C72" t="s">
        <v>22</v>
      </c>
      <c r="D72" t="s">
        <v>1</v>
      </c>
      <c r="E72" t="str">
        <f>VLOOKUP(_xlfn.CONCAT(Reservas[[#This Row],[C (Cliente)]]," ",Reservas[[#This Row],[D (Ciudad)]]),Directorio[],4,FALSE)</f>
        <v>Av. Diego Díaz de Berlanga 3600, Sin Nombre de Col 21, 64510 Monterrey, N.L.</v>
      </c>
      <c r="F72">
        <f>VLOOKUP(_xlfn.CONCAT(Reservas[[#This Row],[C (Cliente)]]," ",Reservas[[#This Row],[D (Ciudad)]]),Directorio[],5,FALSE)</f>
        <v>25.708108766990499</v>
      </c>
      <c r="G72">
        <f>VLOOKUP(_xlfn.CONCAT(Reservas[[#This Row],[C (Cliente)]]," ",Reservas[[#This Row],[D (Ciudad)]]),Directorio[],6,FALSE)</f>
        <v>-100.289139169981</v>
      </c>
    </row>
    <row r="73" spans="1:8" x14ac:dyDescent="0.3">
      <c r="A73" s="1">
        <v>45572</v>
      </c>
      <c r="B73" s="1">
        <v>45576</v>
      </c>
      <c r="C73" t="s">
        <v>57</v>
      </c>
      <c r="D73" t="s">
        <v>61</v>
      </c>
      <c r="E73" t="str">
        <f>VLOOKUP(_xlfn.CONCAT(Reservas[[#This Row],[C (Cliente)]]," ",Reservas[[#This Row],[D (Ciudad)]]),Directorio[],4,FALSE)</f>
        <v>Cirucuito Parque Industrial, 74167 Los Volcanes, Pue.</v>
      </c>
      <c r="F73">
        <f>VLOOKUP(_xlfn.CONCAT(Reservas[[#This Row],[C (Cliente)]]," ",Reservas[[#This Row],[D (Ciudad)]]),Directorio[],5,FALSE)</f>
        <v>19.218633608066199</v>
      </c>
      <c r="G73">
        <f>VLOOKUP(_xlfn.CONCAT(Reservas[[#This Row],[C (Cliente)]]," ",Reservas[[#This Row],[D (Ciudad)]]),Directorio[],6,FALSE)</f>
        <v>-98.408213672219006</v>
      </c>
    </row>
    <row r="74" spans="1:8" x14ac:dyDescent="0.3">
      <c r="A74" s="1">
        <v>45586</v>
      </c>
      <c r="B74" s="1">
        <v>45594</v>
      </c>
      <c r="C74" t="s">
        <v>0</v>
      </c>
      <c r="D74" t="s">
        <v>24</v>
      </c>
      <c r="E74" t="str">
        <f>VLOOKUP(_xlfn.CONCAT(Reservas[[#This Row],[C (Cliente)]]," ",Reservas[[#This Row],[D (Ciudad)]]),Directorio[],4,FALSE)</f>
        <v>Fraccion B, Fraccion I, Bodega 12-A San Jose la Teja, 54607 Tepotzotlán, Méx.</v>
      </c>
      <c r="F74">
        <f>VLOOKUP(_xlfn.CONCAT(Reservas[[#This Row],[C (Cliente)]]," ",Reservas[[#This Row],[D (Ciudad)]]),Directorio[],5,FALSE)</f>
        <v>19.734602450529302</v>
      </c>
      <c r="G74">
        <f>VLOOKUP(_xlfn.CONCAT(Reservas[[#This Row],[C (Cliente)]]," ",Reservas[[#This Row],[D (Ciudad)]]),Directorio[],6,FALSE)</f>
        <v>-99.211515604765395</v>
      </c>
    </row>
    <row r="75" spans="1:8" x14ac:dyDescent="0.3">
      <c r="A75" s="1">
        <v>45607</v>
      </c>
      <c r="B75" s="1">
        <v>45628</v>
      </c>
      <c r="C75" t="s">
        <v>5</v>
      </c>
      <c r="D75" t="s">
        <v>1</v>
      </c>
      <c r="E75" t="str">
        <f>VLOOKUP(_xlfn.CONCAT(Reservas[[#This Row],[C (Cliente)]]," ",Reservas[[#This Row],[D (Ciudad)]]),Directorio[],4,FALSE)</f>
        <v>C. del Río 3011, Riberas del Río, 67160 Guadalupe, N.L.</v>
      </c>
      <c r="F75">
        <f>VLOOKUP(_xlfn.CONCAT(Reservas[[#This Row],[C (Cliente)]]," ",Reservas[[#This Row],[D (Ciudad)]]),Directorio[],5,FALSE)</f>
        <v>25.6887973919251</v>
      </c>
      <c r="G75">
        <f>VLOOKUP(_xlfn.CONCAT(Reservas[[#This Row],[C (Cliente)]]," ",Reservas[[#This Row],[D (Ciudad)]]),Directorio[],6,FALSE)</f>
        <v>-100.229211992065</v>
      </c>
    </row>
    <row r="76" spans="1:8" x14ac:dyDescent="0.3">
      <c r="A76" s="1">
        <v>45670</v>
      </c>
      <c r="B76" s="1">
        <v>45681</v>
      </c>
      <c r="C76" t="s">
        <v>80</v>
      </c>
      <c r="D76" t="s">
        <v>46</v>
      </c>
      <c r="E76" t="str">
        <f>VLOOKUP(_xlfn.CONCAT(Reservas[[#This Row],[C (Cliente)]]," ",Reservas[[#This Row],[D (Ciudad)]]),Directorio[],4,FALSE)</f>
        <v>Parque Industrial, Av. 1 Lote 3-A, Valle de Orizaba, 94780 Ver.</v>
      </c>
      <c r="F76">
        <f>VLOOKUP(_xlfn.CONCAT(Reservas[[#This Row],[C (Cliente)]]," ",Reservas[[#This Row],[D (Ciudad)]]),Directorio[],5,FALSE)</f>
        <v>18.832324308789602</v>
      </c>
      <c r="G76">
        <f>VLOOKUP(_xlfn.CONCAT(Reservas[[#This Row],[C (Cliente)]]," ",Reservas[[#This Row],[D (Ciudad)]]),Directorio[],6,FALSE)</f>
        <v>-97.105547789444699</v>
      </c>
    </row>
    <row r="77" spans="1:8" x14ac:dyDescent="0.3">
      <c r="A77" s="1">
        <v>45719</v>
      </c>
      <c r="B77" s="1">
        <v>45724</v>
      </c>
      <c r="C77" t="s">
        <v>71</v>
      </c>
      <c r="D77" t="s">
        <v>24</v>
      </c>
      <c r="E77" t="str">
        <f>VLOOKUP(_xlfn.CONCAT(Reservas[[#This Row],[C (Cliente)]]," ",Reservas[[#This Row],[D (Ciudad)]]),Directorio[],4,FALSE)</f>
        <v>Manzana 022, Santa Barbara, 54713 Cuautitlán Izcalli, Méx.</v>
      </c>
      <c r="F77">
        <f>VLOOKUP(_xlfn.CONCAT(Reservas[[#This Row],[C (Cliente)]]," ",Reservas[[#This Row],[D (Ciudad)]]),Directorio[],5,FALSE)</f>
        <v>19.714384181256001</v>
      </c>
      <c r="G77">
        <f>VLOOKUP(_xlfn.CONCAT(Reservas[[#This Row],[C (Cliente)]]," ",Reservas[[#This Row],[D (Ciudad)]]),Directorio[],6,FALSE)</f>
        <v>-99.191213520108505</v>
      </c>
    </row>
    <row r="78" spans="1:8" x14ac:dyDescent="0.3">
      <c r="A78" s="1">
        <v>45768</v>
      </c>
      <c r="B78" s="1">
        <v>45773</v>
      </c>
      <c r="C78" t="s">
        <v>0</v>
      </c>
      <c r="D78" t="s">
        <v>1</v>
      </c>
      <c r="E78" t="str">
        <f>VLOOKUP(_xlfn.CONCAT(Reservas[[#This Row],[C (Cliente)]]," ",Reservas[[#This Row],[D (Ciudad)]]),Directorio[],4,FALSE)</f>
        <v>esquina con Luis, Calle Vicente Guerrero, Av. Don Luis G. Sada 3530, Del Nte., 64500 Monterrey, N.L.</v>
      </c>
      <c r="F78">
        <f>VLOOKUP(_xlfn.CONCAT(Reservas[[#This Row],[C (Cliente)]]," ",Reservas[[#This Row],[D (Ciudad)]]),Directorio[],5,FALSE)</f>
        <v>25.712078574619301</v>
      </c>
      <c r="G78">
        <f>VLOOKUP(_xlfn.CONCAT(Reservas[[#This Row],[C (Cliente)]]," ",Reservas[[#This Row],[D (Ciudad)]]),Directorio[],6,FALSE)</f>
        <v>-100.309104333428</v>
      </c>
    </row>
    <row r="79" spans="1:8" x14ac:dyDescent="0.3">
      <c r="A79" s="1">
        <v>45789</v>
      </c>
      <c r="B79" s="1">
        <v>45793</v>
      </c>
      <c r="C79" t="s">
        <v>85</v>
      </c>
      <c r="D79" t="s">
        <v>34</v>
      </c>
      <c r="E79" t="str">
        <f>VLOOKUP(_xlfn.CONCAT(Reservas[[#This Row],[C (Cliente)]]," ",Reservas[[#This Row],[D (Ciudad)]]),Directorio[],4,FALSE)</f>
        <v>Vía Morelos 268, Sta Maria Tulpetlac, 55400 Ecatepec de Morelos, Méx.</v>
      </c>
      <c r="F79">
        <f>VLOOKUP(_xlfn.CONCAT(Reservas[[#This Row],[C (Cliente)]]," ",Reservas[[#This Row],[D (Ciudad)]]),Directorio[],5,FALSE)</f>
        <v>19.563349824022801</v>
      </c>
      <c r="G79">
        <f>VLOOKUP(_xlfn.CONCAT(Reservas[[#This Row],[C (Cliente)]]," ",Reservas[[#This Row],[D (Ciudad)]]),Directorio[],6,FALSE)</f>
        <v>-99.043461191276606</v>
      </c>
    </row>
    <row r="80" spans="1:8" x14ac:dyDescent="0.3">
      <c r="A80" s="1">
        <v>45824</v>
      </c>
      <c r="B80" s="1">
        <v>45829</v>
      </c>
      <c r="C80" t="s">
        <v>0</v>
      </c>
      <c r="D80" t="s">
        <v>12</v>
      </c>
      <c r="E80" t="str">
        <f>VLOOKUP(_xlfn.CONCAT(Reservas[[#This Row],[C (Cliente)]]," ",Reservas[[#This Row],[D (Ciudad)]]),Directorio[],4,FALSE)</f>
        <v>Industrial Park, San Martin Al Verde 520-Nave 12, Colonia, 45620 Guadalajara, Jal.</v>
      </c>
      <c r="F80">
        <f>VLOOKUP(_xlfn.CONCAT(Reservas[[#This Row],[C (Cliente)]]," ",Reservas[[#This Row],[D (Ciudad)]]),Directorio[],5,FALSE)</f>
        <v>20.587716522906799</v>
      </c>
      <c r="G80">
        <f>VLOOKUP(_xlfn.CONCAT(Reservas[[#This Row],[C (Cliente)]]," ",Reservas[[#This Row],[D (Ciudad)]]),Directorio[],6,FALSE)</f>
        <v>-103.28812603542799</v>
      </c>
    </row>
    <row r="81" spans="1:8" x14ac:dyDescent="0.3">
      <c r="A81" s="1">
        <v>45845</v>
      </c>
      <c r="B81" s="1">
        <v>45857</v>
      </c>
      <c r="C81" t="s">
        <v>68</v>
      </c>
      <c r="D81" t="s">
        <v>69</v>
      </c>
      <c r="E81" t="str">
        <f>VLOOKUP(_xlfn.CONCAT(Reservas[[#This Row],[C (Cliente)]]," ",Reservas[[#This Row],[D (Ciudad)]]),Directorio[],4,FALSE)</f>
        <v>Calle 1 S/N, 56300 Tequisistlán, Méx.</v>
      </c>
      <c r="F81">
        <f>VLOOKUP(_xlfn.CONCAT(Reservas[[#This Row],[C (Cliente)]]," ",Reservas[[#This Row],[D (Ciudad)]]),Directorio[],5,FALSE)</f>
        <v>19.609487325453902</v>
      </c>
      <c r="G81">
        <f>VLOOKUP(_xlfn.CONCAT(Reservas[[#This Row],[C (Cliente)]]," ",Reservas[[#This Row],[D (Ciudad)]]),Directorio[],6,FALSE)</f>
        <v>-98.946322079826402</v>
      </c>
    </row>
    <row r="82" spans="1:8" x14ac:dyDescent="0.3">
      <c r="A82" s="1">
        <v>45859</v>
      </c>
      <c r="B82" s="1">
        <v>45866</v>
      </c>
      <c r="C82" t="s">
        <v>64</v>
      </c>
      <c r="D82" t="s">
        <v>65</v>
      </c>
      <c r="E82" t="str">
        <f>VLOOKUP(_xlfn.CONCAT(Reservas[[#This Row],[C (Cliente)]]," ",Reservas[[#This Row],[D (Ciudad)]]),Directorio[],4,FALSE)</f>
        <v>Carretera Lauro Villar KM 9.5, Ejido Longoreño, 87540 Heroica Matamoros, Tamps.</v>
      </c>
      <c r="F82">
        <f>VLOOKUP(_xlfn.CONCAT(Reservas[[#This Row],[C (Cliente)]]," ",Reservas[[#This Row],[D (Ciudad)]]),Directorio[],5,FALSE)</f>
        <v>25.837382365842299</v>
      </c>
      <c r="G82">
        <f>VLOOKUP(_xlfn.CONCAT(Reservas[[#This Row],[C (Cliente)]]," ",Reservas[[#This Row],[D (Ciudad)]]),Directorio[],6,FALSE)</f>
        <v>-97.424030815051196</v>
      </c>
    </row>
    <row r="83" spans="1:8" x14ac:dyDescent="0.3">
      <c r="A83" s="1">
        <v>45881</v>
      </c>
      <c r="B83" s="1">
        <v>45885</v>
      </c>
      <c r="C83" t="s">
        <v>0</v>
      </c>
      <c r="D83" t="s">
        <v>8</v>
      </c>
      <c r="E83" t="str">
        <f>VLOOKUP(_xlfn.CONCAT(Reservas[[#This Row],[C (Cliente)]]," ",Reservas[[#This Row],[D (Ciudad)]]),Directorio[],4,FALSE)</f>
        <v>Carretera Federal 57, P.º de la República No. 7501 Km. 187, Ejido Arroyos, 78395 San Luis Potosí</v>
      </c>
      <c r="F83">
        <f>VLOOKUP(_xlfn.CONCAT(Reservas[[#This Row],[C (Cliente)]]," ",Reservas[[#This Row],[D (Ciudad)]]),Directorio[],5,FALSE)</f>
        <v>22.055093557790599</v>
      </c>
      <c r="G83">
        <f>VLOOKUP(_xlfn.CONCAT(Reservas[[#This Row],[C (Cliente)]]," ",Reservas[[#This Row],[D (Ciudad)]]),Directorio[],6,FALSE)</f>
        <v>-100.860614961081</v>
      </c>
    </row>
    <row r="84" spans="1:8" x14ac:dyDescent="0.3">
      <c r="A84" s="1">
        <v>45887</v>
      </c>
      <c r="B84" s="1">
        <v>45892</v>
      </c>
      <c r="C84" t="s">
        <v>71</v>
      </c>
      <c r="D84" t="s">
        <v>24</v>
      </c>
      <c r="E84" t="str">
        <f>VLOOKUP(_xlfn.CONCAT(Reservas[[#This Row],[C (Cliente)]]," ",Reservas[[#This Row],[D (Ciudad)]]),Directorio[],4,FALSE)</f>
        <v>Manzana 022, Santa Barbara, 54713 Cuautitlán Izcalli, Méx.</v>
      </c>
      <c r="F84">
        <f>VLOOKUP(_xlfn.CONCAT(Reservas[[#This Row],[C (Cliente)]]," ",Reservas[[#This Row],[D (Ciudad)]]),Directorio[],5,FALSE)</f>
        <v>19.714384181256001</v>
      </c>
      <c r="G84">
        <f>VLOOKUP(_xlfn.CONCAT(Reservas[[#This Row],[C (Cliente)]]," ",Reservas[[#This Row],[D (Ciudad)]]),Directorio[],6,FALSE)</f>
        <v>-99.191213520108505</v>
      </c>
    </row>
    <row r="85" spans="1:8" x14ac:dyDescent="0.3">
      <c r="A85" s="1">
        <v>45894</v>
      </c>
      <c r="B85" s="1">
        <v>45896</v>
      </c>
      <c r="C85" t="s">
        <v>52</v>
      </c>
      <c r="D85" t="s">
        <v>53</v>
      </c>
      <c r="E85" t="str">
        <f>VLOOKUP(_xlfn.CONCAT(Reservas[[#This Row],[C (Cliente)]]," ",Reservas[[#This Row],[D (Ciudad)]]),Directorio[],4,FALSE)</f>
        <v>Carretera Amealco, Hacienda Galindo Km 5.5, 76820 San Juan del Río, Qro.</v>
      </c>
      <c r="F85">
        <f>VLOOKUP(_xlfn.CONCAT(Reservas[[#This Row],[C (Cliente)]]," ",Reservas[[#This Row],[D (Ciudad)]]),Directorio[],5,FALSE)</f>
        <v>20.396790604230599</v>
      </c>
      <c r="G85">
        <f>VLOOKUP(_xlfn.CONCAT(Reservas[[#This Row],[C (Cliente)]]," ",Reservas[[#This Row],[D (Ciudad)]]),Directorio[],6,FALSE)</f>
        <v>-100.09452334269299</v>
      </c>
      <c r="H85" t="s">
        <v>112</v>
      </c>
    </row>
    <row r="86" spans="1:8" x14ac:dyDescent="0.3">
      <c r="A86" s="1">
        <v>45898</v>
      </c>
      <c r="B86" s="1">
        <v>45903</v>
      </c>
      <c r="C86" t="s">
        <v>35</v>
      </c>
      <c r="D86" t="s">
        <v>34</v>
      </c>
      <c r="E86" t="str">
        <f>VLOOKUP(_xlfn.CONCAT(Reservas[[#This Row],[C (Cliente)]]," ",Reservas[[#This Row],[D (Ciudad)]]),Directorio[],4,FALSE)</f>
        <v>Carlos B. Zetina 401, Industrial Xalostoc, 55348 Ecatepec de Morelos, Méx.</v>
      </c>
      <c r="F86">
        <f>VLOOKUP(_xlfn.CONCAT(Reservas[[#This Row],[C (Cliente)]]," ",Reservas[[#This Row],[D (Ciudad)]]),Directorio[],5,FALSE)</f>
        <v>19.515264391003999</v>
      </c>
      <c r="G86">
        <f>VLOOKUP(_xlfn.CONCAT(Reservas[[#This Row],[C (Cliente)]]," ",Reservas[[#This Row],[D (Ciudad)]]),Directorio[],6,FALSE)</f>
        <v>-99.079513753780802</v>
      </c>
    </row>
    <row r="87" spans="1:8" x14ac:dyDescent="0.3">
      <c r="A87" s="1">
        <v>45938</v>
      </c>
      <c r="B87" s="1">
        <v>45940</v>
      </c>
      <c r="C87" t="s">
        <v>7</v>
      </c>
      <c r="D87" t="s">
        <v>89</v>
      </c>
      <c r="E87" t="str">
        <f>VLOOKUP(_xlfn.CONCAT(Reservas[[#This Row],[C (Cliente)]]," ",Reservas[[#This Row],[D (Ciudad)]]),Directorio[],4,FALSE)</f>
        <v>Av Heroico Colegio Militar, Luis Gómez Zepeda, 20180 Aguascalientes, Ags.</v>
      </c>
      <c r="F87">
        <f>VLOOKUP(_xlfn.CONCAT(Reservas[[#This Row],[C (Cliente)]]," ",Reservas[[#This Row],[D (Ciudad)]]),Directorio[],5,FALSE)</f>
        <v>21.8937660612171</v>
      </c>
      <c r="G87">
        <f>VLOOKUP(_xlfn.CONCAT(Reservas[[#This Row],[C (Cliente)]]," ",Reservas[[#This Row],[D (Ciudad)]]),Directorio[],6,FALSE)</f>
        <v>-102.279149507897</v>
      </c>
    </row>
    <row r="88" spans="1:8" x14ac:dyDescent="0.3">
      <c r="A88" s="1">
        <v>45943</v>
      </c>
      <c r="B88" s="1">
        <v>45948</v>
      </c>
      <c r="C88" t="s">
        <v>0</v>
      </c>
      <c r="D88" t="s">
        <v>24</v>
      </c>
      <c r="E88" t="str">
        <f>VLOOKUP(_xlfn.CONCAT(Reservas[[#This Row],[C (Cliente)]]," ",Reservas[[#This Row],[D (Ciudad)]]),Directorio[],4,FALSE)</f>
        <v>Fraccion B, Fraccion I, Bodega 12-A San Jose la Teja, 54607 Tepotzotlán, Méx.</v>
      </c>
      <c r="F88">
        <f>VLOOKUP(_xlfn.CONCAT(Reservas[[#This Row],[C (Cliente)]]," ",Reservas[[#This Row],[D (Ciudad)]]),Directorio[],5,FALSE)</f>
        <v>19.734602450529302</v>
      </c>
      <c r="G88">
        <f>VLOOKUP(_xlfn.CONCAT(Reservas[[#This Row],[C (Cliente)]]," ",Reservas[[#This Row],[D (Ciudad)]]),Directorio[],6,FALSE)</f>
        <v>-99.211515604765395</v>
      </c>
    </row>
    <row r="89" spans="1:8" x14ac:dyDescent="0.3">
      <c r="A89" s="1">
        <v>45950</v>
      </c>
      <c r="B89" s="1">
        <v>45955</v>
      </c>
      <c r="C89" t="s">
        <v>71</v>
      </c>
      <c r="D89" t="s">
        <v>24</v>
      </c>
      <c r="E89" t="str">
        <f>VLOOKUP(_xlfn.CONCAT(Reservas[[#This Row],[C (Cliente)]]," ",Reservas[[#This Row],[D (Ciudad)]]),Directorio[],4,FALSE)</f>
        <v>Manzana 022, Santa Barbara, 54713 Cuautitlán Izcalli, Méx.</v>
      </c>
      <c r="F89">
        <f>VLOOKUP(_xlfn.CONCAT(Reservas[[#This Row],[C (Cliente)]]," ",Reservas[[#This Row],[D (Ciudad)]]),Directorio[],5,FALSE)</f>
        <v>19.714384181256001</v>
      </c>
      <c r="G89">
        <f>VLOOKUP(_xlfn.CONCAT(Reservas[[#This Row],[C (Cliente)]]," ",Reservas[[#This Row],[D (Ciudad)]]),Directorio[],6,FALSE)</f>
        <v>-99.191213520108505</v>
      </c>
    </row>
    <row r="90" spans="1:8" x14ac:dyDescent="0.3">
      <c r="A90" s="1">
        <v>45957</v>
      </c>
      <c r="B90" s="1">
        <v>45961</v>
      </c>
      <c r="C90" t="s">
        <v>57</v>
      </c>
      <c r="D90" t="s">
        <v>61</v>
      </c>
      <c r="E90" t="str">
        <f>VLOOKUP(_xlfn.CONCAT(Reservas[[#This Row],[C (Cliente)]]," ",Reservas[[#This Row],[D (Ciudad)]]),Directorio[],4,FALSE)</f>
        <v>Cirucuito Parque Industrial, 74167 Los Volcanes, Pue.</v>
      </c>
      <c r="F90">
        <f>VLOOKUP(_xlfn.CONCAT(Reservas[[#This Row],[C (Cliente)]]," ",Reservas[[#This Row],[D (Ciudad)]]),Directorio[],5,FALSE)</f>
        <v>19.218633608066199</v>
      </c>
      <c r="G90">
        <f>VLOOKUP(_xlfn.CONCAT(Reservas[[#This Row],[C (Cliente)]]," ",Reservas[[#This Row],[D (Ciudad)]]),Directorio[],6,FALSE)</f>
        <v>-98.408213672219006</v>
      </c>
    </row>
    <row r="91" spans="1:8" x14ac:dyDescent="0.3">
      <c r="A91" s="1">
        <v>45965</v>
      </c>
      <c r="B91" s="1">
        <v>45971</v>
      </c>
      <c r="C91" t="s">
        <v>3</v>
      </c>
      <c r="D91" t="s">
        <v>24</v>
      </c>
      <c r="E91" t="str">
        <f>VLOOKUP(_xlfn.CONCAT(Reservas[[#This Row],[C (Cliente)]]," ",Reservas[[#This Row],[D (Ciudad)]]),Directorio[],4,FALSE)</f>
        <v>Cristóbal Colón 31, Texcacoa, 54600 Tepotzotlán, Méx.</v>
      </c>
      <c r="F91">
        <f>VLOOKUP(_xlfn.CONCAT(Reservas[[#This Row],[C (Cliente)]]," ",Reservas[[#This Row],[D (Ciudad)]]),Directorio[],5,FALSE)</f>
        <v>19.708160108808801</v>
      </c>
      <c r="G91">
        <f>VLOOKUP(_xlfn.CONCAT(Reservas[[#This Row],[C (Cliente)]]," ",Reservas[[#This Row],[D (Ciudad)]]),Directorio[],6,FALSE)</f>
        <v>-99.217776878897595</v>
      </c>
    </row>
    <row r="92" spans="1:8" x14ac:dyDescent="0.3">
      <c r="A92" s="1">
        <v>46034</v>
      </c>
      <c r="B92" s="1">
        <v>46038</v>
      </c>
      <c r="C92" t="s">
        <v>80</v>
      </c>
      <c r="D92" t="s">
        <v>46</v>
      </c>
      <c r="E92" t="str">
        <f>VLOOKUP(_xlfn.CONCAT(Reservas[[#This Row],[C (Cliente)]]," ",Reservas[[#This Row],[D (Ciudad)]]),Directorio[],4,FALSE)</f>
        <v>Parque Industrial, Av. 1 Lote 3-A, Valle de Orizaba, 94780 Ver.</v>
      </c>
      <c r="F92">
        <f>VLOOKUP(_xlfn.CONCAT(Reservas[[#This Row],[C (Cliente)]]," ",Reservas[[#This Row],[D (Ciudad)]]),Directorio[],5,FALSE)</f>
        <v>18.832324308789602</v>
      </c>
      <c r="G92">
        <f>VLOOKUP(_xlfn.CONCAT(Reservas[[#This Row],[C (Cliente)]]," ",Reservas[[#This Row],[D (Ciudad)]]),Directorio[],6,FALSE)</f>
        <v>-97.105547789444699</v>
      </c>
    </row>
    <row r="93" spans="1:8" x14ac:dyDescent="0.3">
      <c r="A93" s="1">
        <v>46083</v>
      </c>
      <c r="B93" s="1">
        <v>46087</v>
      </c>
      <c r="C93" t="s">
        <v>85</v>
      </c>
      <c r="D93" t="s">
        <v>34</v>
      </c>
      <c r="E93" t="str">
        <f>VLOOKUP(_xlfn.CONCAT(Reservas[[#This Row],[C (Cliente)]]," ",Reservas[[#This Row],[D (Ciudad)]]),Directorio[],4,FALSE)</f>
        <v>Vía Morelos 268, Sta Maria Tulpetlac, 55400 Ecatepec de Morelos, Méx.</v>
      </c>
      <c r="F93">
        <f>VLOOKUP(_xlfn.CONCAT(Reservas[[#This Row],[C (Cliente)]]," ",Reservas[[#This Row],[D (Ciudad)]]),Directorio[],5,FALSE)</f>
        <v>19.563349824022801</v>
      </c>
      <c r="G93">
        <f>VLOOKUP(_xlfn.CONCAT(Reservas[[#This Row],[C (Cliente)]]," ",Reservas[[#This Row],[D (Ciudad)]]),Directorio[],6,FALSE)</f>
        <v>-99.043461191276606</v>
      </c>
    </row>
    <row r="94" spans="1:8" x14ac:dyDescent="0.3">
      <c r="A94" s="1">
        <v>46135</v>
      </c>
      <c r="B94" s="1">
        <v>46137</v>
      </c>
      <c r="C94" t="s">
        <v>0</v>
      </c>
      <c r="D94" t="s">
        <v>1</v>
      </c>
      <c r="E94" t="str">
        <f>VLOOKUP(_xlfn.CONCAT(Reservas[[#This Row],[C (Cliente)]]," ",Reservas[[#This Row],[D (Ciudad)]]),Directorio[],4,FALSE)</f>
        <v>esquina con Luis, Calle Vicente Guerrero, Av. Don Luis G. Sada 3530, Del Nte., 64500 Monterrey, N.L.</v>
      </c>
      <c r="F94">
        <f>VLOOKUP(_xlfn.CONCAT(Reservas[[#This Row],[C (Cliente)]]," ",Reservas[[#This Row],[D (Ciudad)]]),Directorio[],5,FALSE)</f>
        <v>25.712078574619301</v>
      </c>
      <c r="G94">
        <f>VLOOKUP(_xlfn.CONCAT(Reservas[[#This Row],[C (Cliente)]]," ",Reservas[[#This Row],[D (Ciudad)]]),Directorio[],6,FALSE)</f>
        <v>-100.309104333428</v>
      </c>
    </row>
    <row r="95" spans="1:8" x14ac:dyDescent="0.3">
      <c r="A95" s="1">
        <v>46146</v>
      </c>
      <c r="B95" s="1">
        <v>46150</v>
      </c>
      <c r="C95" t="s">
        <v>105</v>
      </c>
      <c r="D95" t="s">
        <v>106</v>
      </c>
      <c r="E95" t="str">
        <f>VLOOKUP(_xlfn.CONCAT(Reservas[[#This Row],[C (Cliente)]]," ",Reservas[[#This Row],[D (Ciudad)]]),Directorio[],4,FALSE)</f>
        <v>Tecnológico 1, San Isidro, 54730 Cuautitlán Izcalli, Méx.</v>
      </c>
      <c r="F95">
        <f>VLOOKUP(_xlfn.CONCAT(Reservas[[#This Row],[C (Cliente)]]," ",Reservas[[#This Row],[D (Ciudad)]]),Directorio[],5,FALSE)</f>
        <v>19.651323698837199</v>
      </c>
      <c r="G95">
        <f>VLOOKUP(_xlfn.CONCAT(Reservas[[#This Row],[C (Cliente)]]," ",Reservas[[#This Row],[D (Ciudad)]]),Directorio[],6,FALSE)</f>
        <v>-99.188600571718894</v>
      </c>
    </row>
    <row r="96" spans="1:8" x14ac:dyDescent="0.3">
      <c r="A96" s="1">
        <v>46153</v>
      </c>
      <c r="B96" s="1">
        <v>46157</v>
      </c>
      <c r="C96" t="s">
        <v>105</v>
      </c>
      <c r="D96" t="s">
        <v>106</v>
      </c>
      <c r="E96" t="str">
        <f>VLOOKUP(_xlfn.CONCAT(Reservas[[#This Row],[C (Cliente)]]," ",Reservas[[#This Row],[D (Ciudad)]]),Directorio[],4,FALSE)</f>
        <v>Tecnológico 1, San Isidro, 54730 Cuautitlán Izcalli, Méx.</v>
      </c>
      <c r="F96">
        <f>VLOOKUP(_xlfn.CONCAT(Reservas[[#This Row],[C (Cliente)]]," ",Reservas[[#This Row],[D (Ciudad)]]),Directorio[],5,FALSE)</f>
        <v>19.651323698837199</v>
      </c>
      <c r="G96">
        <f>VLOOKUP(_xlfn.CONCAT(Reservas[[#This Row],[C (Cliente)]]," ",Reservas[[#This Row],[D (Ciudad)]]),Directorio[],6,FALSE)</f>
        <v>-99.188600571718894</v>
      </c>
    </row>
    <row r="97" spans="1:8" x14ac:dyDescent="0.3">
      <c r="A97" s="1">
        <v>46160</v>
      </c>
      <c r="B97" s="1">
        <v>46164</v>
      </c>
      <c r="C97" t="s">
        <v>103</v>
      </c>
      <c r="D97" t="s">
        <v>104</v>
      </c>
      <c r="E97" t="str">
        <f>VLOOKUP(_xlfn.CONCAT(Reservas[[#This Row],[C (Cliente)]]," ",Reservas[[#This Row],[D (Ciudad)]]),Directorio[],4,FALSE)</f>
        <v>Av. Irapuato 1790, Cdad. Industrial Irapuato, 36541 Cdad. Industrial Irapuato, Gto.</v>
      </c>
      <c r="F97">
        <f>VLOOKUP(_xlfn.CONCAT(Reservas[[#This Row],[C (Cliente)]]," ",Reservas[[#This Row],[D (Ciudad)]]),Directorio[],5,FALSE)</f>
        <v>20.628893472911301</v>
      </c>
      <c r="G97">
        <f>VLOOKUP(_xlfn.CONCAT(Reservas[[#This Row],[C (Cliente)]]," ",Reservas[[#This Row],[D (Ciudad)]]),Directorio[],6,FALSE)</f>
        <v>-101.292065073294</v>
      </c>
    </row>
    <row r="98" spans="1:8" x14ac:dyDescent="0.3">
      <c r="A98" s="1">
        <v>46191</v>
      </c>
      <c r="B98" s="1">
        <v>46193</v>
      </c>
      <c r="C98" t="s">
        <v>0</v>
      </c>
      <c r="D98" t="s">
        <v>12</v>
      </c>
      <c r="E98" t="str">
        <f>VLOOKUP(_xlfn.CONCAT(Reservas[[#This Row],[C (Cliente)]]," ",Reservas[[#This Row],[D (Ciudad)]]),Directorio[],4,FALSE)</f>
        <v>Industrial Park, San Martin Al Verde 520-Nave 12, Colonia, 45620 Guadalajara, Jal.</v>
      </c>
      <c r="F98">
        <f>VLOOKUP(_xlfn.CONCAT(Reservas[[#This Row],[C (Cliente)]]," ",Reservas[[#This Row],[D (Ciudad)]]),Directorio[],5,FALSE)</f>
        <v>20.587716522906799</v>
      </c>
      <c r="G98">
        <f>VLOOKUP(_xlfn.CONCAT(Reservas[[#This Row],[C (Cliente)]]," ",Reservas[[#This Row],[D (Ciudad)]]),Directorio[],6,FALSE)</f>
        <v>-103.28812603542799</v>
      </c>
    </row>
    <row r="99" spans="1:8" x14ac:dyDescent="0.3">
      <c r="A99" s="1">
        <v>46223</v>
      </c>
      <c r="B99" s="1">
        <v>46235</v>
      </c>
      <c r="C99" t="s">
        <v>68</v>
      </c>
      <c r="D99" t="s">
        <v>69</v>
      </c>
      <c r="E99" t="str">
        <f>VLOOKUP(_xlfn.CONCAT(Reservas[[#This Row],[C (Cliente)]]," ",Reservas[[#This Row],[D (Ciudad)]]),Directorio[],4,FALSE)</f>
        <v>Calle 1 S/N, 56300 Tequisistlán, Méx.</v>
      </c>
      <c r="F99">
        <f>VLOOKUP(_xlfn.CONCAT(Reservas[[#This Row],[C (Cliente)]]," ",Reservas[[#This Row],[D (Ciudad)]]),Directorio[],5,FALSE)</f>
        <v>19.609487325453902</v>
      </c>
      <c r="G99">
        <f>VLOOKUP(_xlfn.CONCAT(Reservas[[#This Row],[C (Cliente)]]," ",Reservas[[#This Row],[D (Ciudad)]]),Directorio[],6,FALSE)</f>
        <v>-98.946322079826402</v>
      </c>
    </row>
    <row r="100" spans="1:8" x14ac:dyDescent="0.3">
      <c r="A100" s="1">
        <v>46237</v>
      </c>
      <c r="B100" s="1">
        <v>46241</v>
      </c>
      <c r="C100" t="s">
        <v>108</v>
      </c>
      <c r="D100" t="s">
        <v>58</v>
      </c>
      <c r="E100" t="str">
        <f>VLOOKUP(_xlfn.CONCAT(Reservas[[#This Row],[C (Cliente)]]," ",Reservas[[#This Row],[D (Ciudad)]]),Directorio[],4,FALSE)</f>
        <v>Av. José López Portillo 92, El Fresno, 54944 Buenavista, Méx.</v>
      </c>
      <c r="F100">
        <f>VLOOKUP(_xlfn.CONCAT(Reservas[[#This Row],[C (Cliente)]]," ",Reservas[[#This Row],[D (Ciudad)]]),Directorio[],5,FALSE)</f>
        <v>19.618247696356999</v>
      </c>
      <c r="G100">
        <f>VLOOKUP(_xlfn.CONCAT(Reservas[[#This Row],[C (Cliente)]]," ",Reservas[[#This Row],[D (Ciudad)]]),Directorio[],6,FALSE)</f>
        <v>-99.167147200025497</v>
      </c>
    </row>
    <row r="101" spans="1:8" x14ac:dyDescent="0.3">
      <c r="A101" s="1">
        <v>46247</v>
      </c>
      <c r="B101" s="1">
        <v>46249</v>
      </c>
      <c r="C101" t="s">
        <v>0</v>
      </c>
      <c r="D101" t="s">
        <v>8</v>
      </c>
      <c r="E101" t="str">
        <f>VLOOKUP(_xlfn.CONCAT(Reservas[[#This Row],[C (Cliente)]]," ",Reservas[[#This Row],[D (Ciudad)]]),Directorio[],4,FALSE)</f>
        <v>Carretera Federal 57, P.º de la República No. 7501 Km. 187, Ejido Arroyos, 78395 San Luis Potosí</v>
      </c>
      <c r="F101">
        <f>VLOOKUP(_xlfn.CONCAT(Reservas[[#This Row],[C (Cliente)]]," ",Reservas[[#This Row],[D (Ciudad)]]),Directorio[],5,FALSE)</f>
        <v>22.055093557790599</v>
      </c>
      <c r="G101">
        <f>VLOOKUP(_xlfn.CONCAT(Reservas[[#This Row],[C (Cliente)]]," ",Reservas[[#This Row],[D (Ciudad)]]),Directorio[],6,FALSE)</f>
        <v>-100.860614961081</v>
      </c>
    </row>
    <row r="102" spans="1:8" x14ac:dyDescent="0.3">
      <c r="A102" s="1">
        <v>46300</v>
      </c>
      <c r="B102" s="1">
        <v>46304</v>
      </c>
      <c r="C102" t="s">
        <v>57</v>
      </c>
      <c r="D102" t="s">
        <v>61</v>
      </c>
      <c r="E102" t="str">
        <f>VLOOKUP(_xlfn.CONCAT(Reservas[[#This Row],[C (Cliente)]]," ",Reservas[[#This Row],[D (Ciudad)]]),Directorio[],4,FALSE)</f>
        <v>Cirucuito Parque Industrial, 74167 Los Volcanes, Pue.</v>
      </c>
      <c r="F102">
        <f>VLOOKUP(_xlfn.CONCAT(Reservas[[#This Row],[C (Cliente)]]," ",Reservas[[#This Row],[D (Ciudad)]]),Directorio[],5,FALSE)</f>
        <v>19.218633608066199</v>
      </c>
      <c r="G102">
        <f>VLOOKUP(_xlfn.CONCAT(Reservas[[#This Row],[C (Cliente)]]," ",Reservas[[#This Row],[D (Ciudad)]]),Directorio[],6,FALSE)</f>
        <v>-98.408213672219006</v>
      </c>
    </row>
    <row r="103" spans="1:8" x14ac:dyDescent="0.3">
      <c r="A103" s="1">
        <v>46310</v>
      </c>
      <c r="B103" s="1">
        <v>46312</v>
      </c>
      <c r="C103" t="s">
        <v>0</v>
      </c>
      <c r="D103" t="s">
        <v>24</v>
      </c>
      <c r="E103" t="str">
        <f>VLOOKUP(_xlfn.CONCAT(Reservas[[#This Row],[C (Cliente)]]," ",Reservas[[#This Row],[D (Ciudad)]]),Directorio[],4,FALSE)</f>
        <v>Fraccion B, Fraccion I, Bodega 12-A San Jose la Teja, 54607 Tepotzotlán, Méx.</v>
      </c>
      <c r="F103">
        <f>VLOOKUP(_xlfn.CONCAT(Reservas[[#This Row],[C (Cliente)]]," ",Reservas[[#This Row],[D (Ciudad)]]),Directorio[],5,FALSE)</f>
        <v>19.734602450529302</v>
      </c>
      <c r="G103">
        <f>VLOOKUP(_xlfn.CONCAT(Reservas[[#This Row],[C (Cliente)]]," ",Reservas[[#This Row],[D (Ciudad)]]),Directorio[],6,FALSE)</f>
        <v>-99.211515604765395</v>
      </c>
    </row>
    <row r="104" spans="1:8" x14ac:dyDescent="0.3">
      <c r="A104" s="1">
        <v>46181</v>
      </c>
      <c r="B104" s="1">
        <v>46185</v>
      </c>
      <c r="C104" t="s">
        <v>105</v>
      </c>
      <c r="D104" t="s">
        <v>113</v>
      </c>
      <c r="E104" t="str">
        <f>VLOOKUP(_xlfn.CONCAT(Reservas[[#This Row],[C (Cliente)]]," ",Reservas[[#This Row],[D (Ciudad)]]),Directorio[],4,FALSE)</f>
        <v>Perif. Paseo de la República 3051, Constituyentes de Apatzingán de 1814, 58150 Morelia, Mich.</v>
      </c>
      <c r="F104">
        <f>VLOOKUP(_xlfn.CONCAT(Reservas[[#This Row],[C (Cliente)]]," ",Reservas[[#This Row],[D (Ciudad)]]),Directorio[],5,FALSE)</f>
        <v>19.6761386647146</v>
      </c>
      <c r="G104">
        <f>VLOOKUP(_xlfn.CONCAT(Reservas[[#This Row],[C (Cliente)]]," ",Reservas[[#This Row],[D (Ciudad)]]),Directorio[],6,FALSE)</f>
        <v>-101.229171199999</v>
      </c>
    </row>
    <row r="105" spans="1:8" x14ac:dyDescent="0.3">
      <c r="A105" s="1">
        <v>46195</v>
      </c>
      <c r="B105" s="1">
        <v>46206</v>
      </c>
      <c r="C105" t="s">
        <v>105</v>
      </c>
      <c r="D105" t="s">
        <v>12</v>
      </c>
      <c r="E105" t="str">
        <f>VLOOKUP(_xlfn.CONCAT(Reservas[[#This Row],[C (Cliente)]]," ",Reservas[[#This Row],[D (Ciudad)]]),Directorio[],4,FALSE)</f>
        <v>Carr. Guadalajara - Chapala 2300, 45850 Guadalajara, Jal.</v>
      </c>
      <c r="F105">
        <f>VLOOKUP(_xlfn.CONCAT(Reservas[[#This Row],[C (Cliente)]]," ",Reservas[[#This Row],[D (Ciudad)]]),Directorio[],5,FALSE)</f>
        <v>20.434471558363601</v>
      </c>
      <c r="G105">
        <f>VLOOKUP(_xlfn.CONCAT(Reservas[[#This Row],[C (Cliente)]]," ",Reservas[[#This Row],[D (Ciudad)]]),Directorio[],6,FALSE)</f>
        <v>-103.24131761338801</v>
      </c>
    </row>
    <row r="106" spans="1:8" x14ac:dyDescent="0.3">
      <c r="A106" s="1">
        <v>46209</v>
      </c>
      <c r="B106" s="1">
        <v>46220</v>
      </c>
      <c r="C106" t="s">
        <v>105</v>
      </c>
      <c r="D106" t="s">
        <v>1</v>
      </c>
      <c r="E106" t="str">
        <f>VLOOKUP(_xlfn.CONCAT(Reservas[[#This Row],[C (Cliente)]]," ",Reservas[[#This Row],[D (Ciudad)]]),Directorio[],4,FALSE)</f>
        <v>Av. Parque Industrial Monterrey 13, Monterrey, 66603 Cdad. Apodaca, N.L.</v>
      </c>
      <c r="F106">
        <f>VLOOKUP(_xlfn.CONCAT(Reservas[[#This Row],[C (Cliente)]]," ",Reservas[[#This Row],[D (Ciudad)]]),Directorio[],5,FALSE)</f>
        <v>25.7717307416289</v>
      </c>
      <c r="G106">
        <f>VLOOKUP(_xlfn.CONCAT(Reservas[[#This Row],[C (Cliente)]]," ",Reservas[[#This Row],[D (Ciudad)]]),Directorio[],6,FALSE)</f>
        <v>-100.169042691499</v>
      </c>
    </row>
    <row r="107" spans="1:8" x14ac:dyDescent="0.3">
      <c r="A107" s="1">
        <v>46251</v>
      </c>
      <c r="B107" s="1">
        <v>46255</v>
      </c>
      <c r="C107" t="s">
        <v>117</v>
      </c>
      <c r="D107" t="s">
        <v>118</v>
      </c>
      <c r="E107" s="3" t="e">
        <f>VLOOKUP(_xlfn.CONCAT(Reservas[[#This Row],[C (Cliente)]]," ",Reservas[[#This Row],[D (Ciudad)]]),Directorio[],4,FALSE)</f>
        <v>#N/A</v>
      </c>
      <c r="F107" s="3" t="e">
        <f>VLOOKUP(_xlfn.CONCAT(Reservas[[#This Row],[C (Cliente)]]," ",Reservas[[#This Row],[D (Ciudad)]]),Directorio[],5,FALSE)</f>
        <v>#N/A</v>
      </c>
      <c r="G107" s="3" t="e">
        <f>VLOOKUP(_xlfn.CONCAT(Reservas[[#This Row],[C (Cliente)]]," ",Reservas[[#This Row],[D (Ciudad)]]),Directorio[],6,FALSE)</f>
        <v>#N/A</v>
      </c>
      <c r="H107" s="3"/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78AF-9A29-4E2F-B445-027896035F8C}">
  <dimension ref="A1:F56"/>
  <sheetViews>
    <sheetView workbookViewId="0">
      <pane ySplit="1" topLeftCell="A39" activePane="bottomLeft" state="frozen"/>
      <selection pane="bottomLeft" activeCell="D57" sqref="D57"/>
    </sheetView>
  </sheetViews>
  <sheetFormatPr baseColWidth="10" defaultRowHeight="14.4" x14ac:dyDescent="0.3"/>
  <cols>
    <col min="1" max="1" width="27.5546875" bestFit="1" customWidth="1"/>
    <col min="2" max="2" width="15.44140625" bestFit="1" customWidth="1"/>
    <col min="3" max="3" width="14.88671875" bestFit="1" customWidth="1"/>
    <col min="4" max="4" width="86.5546875" bestFit="1" customWidth="1"/>
    <col min="5" max="5" width="12" bestFit="1" customWidth="1"/>
    <col min="6" max="6" width="12.6640625" bestFit="1" customWidth="1"/>
  </cols>
  <sheetData>
    <row r="1" spans="1:6" x14ac:dyDescent="0.3">
      <c r="A1" t="s">
        <v>101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</row>
    <row r="2" spans="1:6" x14ac:dyDescent="0.3">
      <c r="A2" t="str">
        <f>_xlfn.CONCAT(Directorio[[#This Row],[C (Cliente)]]," ",Directorio[[#This Row],[D (Ciudad)]])</f>
        <v>Almex Guadalajara</v>
      </c>
      <c r="B2" t="s">
        <v>0</v>
      </c>
      <c r="C2" t="s">
        <v>12</v>
      </c>
      <c r="D2" t="s">
        <v>13</v>
      </c>
      <c r="E2">
        <v>20.587716522906799</v>
      </c>
      <c r="F2">
        <v>-103.28812603542799</v>
      </c>
    </row>
    <row r="3" spans="1:6" x14ac:dyDescent="0.3">
      <c r="A3" t="str">
        <f>_xlfn.CONCAT(Directorio[[#This Row],[C (Cliente)]]," ",Directorio[[#This Row],[D (Ciudad)]])</f>
        <v>Almex Monterrey</v>
      </c>
      <c r="B3" t="s">
        <v>0</v>
      </c>
      <c r="C3" t="s">
        <v>1</v>
      </c>
      <c r="D3" t="s">
        <v>2</v>
      </c>
      <c r="E3">
        <v>25.712078574619301</v>
      </c>
      <c r="F3">
        <v>-100.309104333428</v>
      </c>
    </row>
    <row r="4" spans="1:6" x14ac:dyDescent="0.3">
      <c r="A4" t="str">
        <f>_xlfn.CONCAT(Directorio[[#This Row],[C (Cliente)]]," ",Directorio[[#This Row],[D (Ciudad)]])</f>
        <v>Almex San Luis Potosí</v>
      </c>
      <c r="B4" t="s">
        <v>0</v>
      </c>
      <c r="C4" t="s">
        <v>8</v>
      </c>
      <c r="D4" t="s">
        <v>14</v>
      </c>
      <c r="E4">
        <v>22.055093557790599</v>
      </c>
      <c r="F4">
        <v>-100.860614961081</v>
      </c>
    </row>
    <row r="5" spans="1:6" x14ac:dyDescent="0.3">
      <c r="A5" t="str">
        <f>_xlfn.CONCAT(Directorio[[#This Row],[C (Cliente)]]," ",Directorio[[#This Row],[D (Ciudad)]])</f>
        <v>Almex Tepotzotlán</v>
      </c>
      <c r="B5" t="s">
        <v>0</v>
      </c>
      <c r="C5" t="s">
        <v>24</v>
      </c>
      <c r="D5" t="s">
        <v>25</v>
      </c>
      <c r="E5">
        <v>19.734602450529302</v>
      </c>
      <c r="F5">
        <v>-99.211515604765395</v>
      </c>
    </row>
    <row r="6" spans="1:6" x14ac:dyDescent="0.3">
      <c r="A6" t="str">
        <f>_xlfn.CONCAT(Directorio[[#This Row],[C (Cliente)]]," ",Directorio[[#This Row],[D (Ciudad)]])</f>
        <v>Arca Continental Chihuahua</v>
      </c>
      <c r="B6" t="s">
        <v>5</v>
      </c>
      <c r="C6" t="s">
        <v>78</v>
      </c>
      <c r="D6" t="s">
        <v>79</v>
      </c>
      <c r="E6">
        <v>29.677259056770801</v>
      </c>
      <c r="F6">
        <v>-106.223913964133</v>
      </c>
    </row>
    <row r="7" spans="1:6" x14ac:dyDescent="0.3">
      <c r="A7" t="str">
        <f>_xlfn.CONCAT(Directorio[[#This Row],[C (Cliente)]]," ",Directorio[[#This Row],[D (Ciudad)]])</f>
        <v>Arca Continental Culiacán</v>
      </c>
      <c r="B7" t="s">
        <v>5</v>
      </c>
      <c r="C7" t="s">
        <v>76</v>
      </c>
      <c r="D7" t="s">
        <v>77</v>
      </c>
      <c r="E7">
        <v>25.631621560698498</v>
      </c>
      <c r="F7">
        <v>-107.426059908095</v>
      </c>
    </row>
    <row r="8" spans="1:6" x14ac:dyDescent="0.3">
      <c r="A8" t="str">
        <f>_xlfn.CONCAT(Directorio[[#This Row],[C (Cliente)]]," ",Directorio[[#This Row],[D (Ciudad)]])</f>
        <v>Arca Continental Guadalajara</v>
      </c>
      <c r="B8" t="s">
        <v>5</v>
      </c>
      <c r="C8" t="s">
        <v>12</v>
      </c>
      <c r="D8" t="s">
        <v>99</v>
      </c>
      <c r="E8">
        <v>21.443229911047698</v>
      </c>
      <c r="F8">
        <v>-103.25827511854099</v>
      </c>
    </row>
    <row r="9" spans="1:6" x14ac:dyDescent="0.3">
      <c r="A9" t="str">
        <f>_xlfn.CONCAT(Directorio[[#This Row],[C (Cliente)]]," ",Directorio[[#This Row],[D (Ciudad)]])</f>
        <v>Arca Continental Monterrey</v>
      </c>
      <c r="B9" t="s">
        <v>5</v>
      </c>
      <c r="C9" t="s">
        <v>1</v>
      </c>
      <c r="D9" t="s">
        <v>6</v>
      </c>
      <c r="E9">
        <v>25.6887973919251</v>
      </c>
      <c r="F9">
        <v>-100.229211992065</v>
      </c>
    </row>
    <row r="10" spans="1:6" x14ac:dyDescent="0.3">
      <c r="A10" t="str">
        <f>_xlfn.CONCAT(Directorio[[#This Row],[C (Cliente)]]," ",Directorio[[#This Row],[D (Ciudad)]])</f>
        <v>Arca Continental San Luis Potosí</v>
      </c>
      <c r="B10" t="s">
        <v>5</v>
      </c>
      <c r="C10" t="s">
        <v>8</v>
      </c>
      <c r="D10" t="s">
        <v>11</v>
      </c>
      <c r="E10">
        <v>22.215195615650099</v>
      </c>
      <c r="F10">
        <v>-100.98959859385199</v>
      </c>
    </row>
    <row r="11" spans="1:6" x14ac:dyDescent="0.3">
      <c r="A11" t="str">
        <f>_xlfn.CONCAT(Directorio[[#This Row],[C (Cliente)]]," ",Directorio[[#This Row],[D (Ciudad)]])</f>
        <v>Bimbo Azcapotzalco</v>
      </c>
      <c r="B11" t="s">
        <v>18</v>
      </c>
      <c r="C11" t="s">
        <v>28</v>
      </c>
      <c r="D11" t="s">
        <v>29</v>
      </c>
      <c r="E11">
        <v>19.505667020624202</v>
      </c>
      <c r="F11">
        <v>-99.183069410757895</v>
      </c>
    </row>
    <row r="12" spans="1:6" x14ac:dyDescent="0.3">
      <c r="A12" t="str">
        <f>_xlfn.CONCAT(Directorio[[#This Row],[C (Cliente)]]," ",Directorio[[#This Row],[D (Ciudad)]])</f>
        <v>Bimbo Guadalajara</v>
      </c>
      <c r="B12" t="s">
        <v>18</v>
      </c>
      <c r="C12" t="s">
        <v>12</v>
      </c>
      <c r="D12" t="s">
        <v>19</v>
      </c>
      <c r="E12">
        <v>20.578718781913999</v>
      </c>
      <c r="F12">
        <v>-103.35003860831399</v>
      </c>
    </row>
    <row r="13" spans="1:6" x14ac:dyDescent="0.3">
      <c r="A13" t="str">
        <f>_xlfn.CONCAT(Directorio[[#This Row],[C (Cliente)]]," ",Directorio[[#This Row],[D (Ciudad)]])</f>
        <v>Cemex Cancún</v>
      </c>
      <c r="B13" t="s">
        <v>22</v>
      </c>
      <c r="C13" t="s">
        <v>40</v>
      </c>
      <c r="D13" t="s">
        <v>41</v>
      </c>
      <c r="E13">
        <v>20.5766481785287</v>
      </c>
      <c r="F13">
        <v>-87.132933100610103</v>
      </c>
    </row>
    <row r="14" spans="1:6" x14ac:dyDescent="0.3">
      <c r="A14" t="str">
        <f>_xlfn.CONCAT(Directorio[[#This Row],[C (Cliente)]]," ",Directorio[[#This Row],[D (Ciudad)]])</f>
        <v>Cemex Guadalajara</v>
      </c>
      <c r="B14" t="s">
        <v>22</v>
      </c>
      <c r="C14" t="s">
        <v>12</v>
      </c>
      <c r="D14" t="s">
        <v>23</v>
      </c>
      <c r="E14">
        <v>20.622401784193201</v>
      </c>
      <c r="F14">
        <v>-103.34534335798899</v>
      </c>
    </row>
    <row r="15" spans="1:6" x14ac:dyDescent="0.3">
      <c r="A15" t="str">
        <f>_xlfn.CONCAT(Directorio[[#This Row],[C (Cliente)]]," ",Directorio[[#This Row],[D (Ciudad)]])</f>
        <v>Cemex Huichapan</v>
      </c>
      <c r="B15" t="s">
        <v>22</v>
      </c>
      <c r="C15" t="s">
        <v>73</v>
      </c>
      <c r="D15" t="s">
        <v>74</v>
      </c>
      <c r="E15">
        <v>20.385165019499802</v>
      </c>
      <c r="F15">
        <v>-99.654596587556995</v>
      </c>
    </row>
    <row r="16" spans="1:6" x14ac:dyDescent="0.3">
      <c r="A16" t="str">
        <f>_xlfn.CONCAT(Directorio[[#This Row],[C (Cliente)]]," ",Directorio[[#This Row],[D (Ciudad)]])</f>
        <v>Cemex Monterrey</v>
      </c>
      <c r="B16" t="s">
        <v>22</v>
      </c>
      <c r="C16" t="s">
        <v>1</v>
      </c>
      <c r="D16" t="s">
        <v>63</v>
      </c>
      <c r="E16">
        <v>25.708108766990499</v>
      </c>
      <c r="F16">
        <v>-100.289139169981</v>
      </c>
    </row>
    <row r="17" spans="1:6" x14ac:dyDescent="0.3">
      <c r="A17" t="str">
        <f>_xlfn.CONCAT(Directorio[[#This Row],[C (Cliente)]]," ",Directorio[[#This Row],[D (Ciudad)]])</f>
        <v>Cemex Tlalnepantla</v>
      </c>
      <c r="B17" t="s">
        <v>22</v>
      </c>
      <c r="C17" t="s">
        <v>32</v>
      </c>
      <c r="D17" t="s">
        <v>33</v>
      </c>
      <c r="E17">
        <v>19.579081577249699</v>
      </c>
      <c r="F17">
        <v>-99.201417141002807</v>
      </c>
    </row>
    <row r="18" spans="1:6" x14ac:dyDescent="0.3">
      <c r="A18" t="str">
        <f>_xlfn.CONCAT(Directorio[[#This Row],[C (Cliente)]]," ",Directorio[[#This Row],[D (Ciudad)]])</f>
        <v>CNSV Galindo</v>
      </c>
      <c r="B18" t="s">
        <v>52</v>
      </c>
      <c r="C18" t="s">
        <v>53</v>
      </c>
      <c r="D18" t="s">
        <v>54</v>
      </c>
      <c r="E18">
        <v>20.396790604230599</v>
      </c>
      <c r="F18">
        <v>-100.09452334269299</v>
      </c>
    </row>
    <row r="19" spans="1:6" x14ac:dyDescent="0.3">
      <c r="A19" t="str">
        <f>_xlfn.CONCAT(Directorio[[#This Row],[C (Cliente)]]," ",Directorio[[#This Row],[D (Ciudad)]])</f>
        <v>Estafeta Querétaro</v>
      </c>
      <c r="B19" t="s">
        <v>47</v>
      </c>
      <c r="C19" t="s">
        <v>48</v>
      </c>
      <c r="D19" t="s">
        <v>49</v>
      </c>
      <c r="E19">
        <v>20.712953957934499</v>
      </c>
      <c r="F19">
        <v>-100.43729290898899</v>
      </c>
    </row>
    <row r="20" spans="1:6" x14ac:dyDescent="0.3">
      <c r="A20" t="str">
        <f>_xlfn.CONCAT(Directorio[[#This Row],[C (Cliente)]]," ",Directorio[[#This Row],[D (Ciudad)]])</f>
        <v>Expo Transportes Puebla</v>
      </c>
      <c r="B20" t="s">
        <v>60</v>
      </c>
      <c r="C20" t="s">
        <v>61</v>
      </c>
      <c r="D20" t="s">
        <v>62</v>
      </c>
      <c r="E20">
        <v>19.043395160035601</v>
      </c>
      <c r="F20">
        <v>-98.191638306250596</v>
      </c>
    </row>
    <row r="21" spans="1:6" x14ac:dyDescent="0.3">
      <c r="A21" t="str">
        <f>_xlfn.CONCAT(Directorio[[#This Row],[C (Cliente)]]," ",Directorio[[#This Row],[D (Ciudad)]])</f>
        <v>FJC Ecatepec</v>
      </c>
      <c r="B21" t="s">
        <v>35</v>
      </c>
      <c r="C21" t="s">
        <v>34</v>
      </c>
      <c r="D21" t="s">
        <v>36</v>
      </c>
      <c r="E21">
        <v>19.515264391003999</v>
      </c>
      <c r="F21">
        <v>-99.079513753780802</v>
      </c>
    </row>
    <row r="22" spans="1:6" x14ac:dyDescent="0.3">
      <c r="A22" t="str">
        <f>_xlfn.CONCAT(Directorio[[#This Row],[C (Cliente)]]," ",Directorio[[#This Row],[D (Ciudad)]])</f>
        <v>FNTM Playa del Carmen</v>
      </c>
      <c r="B22" t="s">
        <v>37</v>
      </c>
      <c r="C22" t="s">
        <v>38</v>
      </c>
      <c r="D22" t="s">
        <v>39</v>
      </c>
      <c r="E22">
        <v>20.650520060642101</v>
      </c>
      <c r="F22">
        <v>-87.053586691917801</v>
      </c>
    </row>
    <row r="23" spans="1:6" x14ac:dyDescent="0.3">
      <c r="A23" t="str">
        <f>_xlfn.CONCAT(Directorio[[#This Row],[C (Cliente)]]," ",Directorio[[#This Row],[D (Ciudad)]])</f>
        <v>García´s Trucking Tepotzotlán</v>
      </c>
      <c r="B23" t="s">
        <v>71</v>
      </c>
      <c r="C23" t="s">
        <v>24</v>
      </c>
      <c r="D23" t="s">
        <v>72</v>
      </c>
      <c r="E23">
        <v>19.714384181256001</v>
      </c>
      <c r="F23">
        <v>-99.191213520108505</v>
      </c>
    </row>
    <row r="24" spans="1:6" x14ac:dyDescent="0.3">
      <c r="A24" t="str">
        <f>_xlfn.CONCAT(Directorio[[#This Row],[C (Cliente)]]," ",Directorio[[#This Row],[D (Ciudad)]])</f>
        <v>GEPP Cuautitlán</v>
      </c>
      <c r="B24" t="s">
        <v>105</v>
      </c>
      <c r="C24" t="s">
        <v>106</v>
      </c>
      <c r="D24" t="s">
        <v>107</v>
      </c>
      <c r="E24">
        <v>19.651323698837199</v>
      </c>
      <c r="F24">
        <v>-99.188600571718894</v>
      </c>
    </row>
    <row r="25" spans="1:6" x14ac:dyDescent="0.3">
      <c r="A25" t="str">
        <f>_xlfn.CONCAT(Directorio[[#This Row],[C (Cliente)]]," ",Directorio[[#This Row],[D (Ciudad)]])</f>
        <v>Grupo Modelo Aguascalientes</v>
      </c>
      <c r="B25" t="s">
        <v>7</v>
      </c>
      <c r="C25" t="s">
        <v>89</v>
      </c>
      <c r="D25" t="s">
        <v>97</v>
      </c>
      <c r="E25">
        <v>21.8937660612171</v>
      </c>
      <c r="F25">
        <v>-102.279149507897</v>
      </c>
    </row>
    <row r="26" spans="1:6" x14ac:dyDescent="0.3">
      <c r="A26" t="str">
        <f>_xlfn.CONCAT(Directorio[[#This Row],[C (Cliente)]]," ",Directorio[[#This Row],[D (Ciudad)]])</f>
        <v>Grupo Modelo Cancún</v>
      </c>
      <c r="B26" t="s">
        <v>7</v>
      </c>
      <c r="C26" t="s">
        <v>40</v>
      </c>
      <c r="D26" t="s">
        <v>42</v>
      </c>
      <c r="E26">
        <v>21.7414689484349</v>
      </c>
      <c r="F26">
        <v>-87.002805893106</v>
      </c>
    </row>
    <row r="27" spans="1:6" x14ac:dyDescent="0.3">
      <c r="A27" t="str">
        <f>_xlfn.CONCAT(Directorio[[#This Row],[C (Cliente)]]," ",Directorio[[#This Row],[D (Ciudad)]])</f>
        <v>Grupo Modelo Guadalajara</v>
      </c>
      <c r="B27" t="s">
        <v>7</v>
      </c>
      <c r="C27" t="s">
        <v>12</v>
      </c>
      <c r="D27" t="s">
        <v>15</v>
      </c>
      <c r="E27">
        <v>20.665168015295801</v>
      </c>
      <c r="F27">
        <v>-103.37581011127899</v>
      </c>
    </row>
    <row r="28" spans="1:6" x14ac:dyDescent="0.3">
      <c r="A28" t="str">
        <f>_xlfn.CONCAT(Directorio[[#This Row],[C (Cliente)]]," ",Directorio[[#This Row],[D (Ciudad)]])</f>
        <v>Grupo Modelo Iztapalapa</v>
      </c>
      <c r="B28" t="s">
        <v>7</v>
      </c>
      <c r="C28" t="s">
        <v>26</v>
      </c>
      <c r="D28" t="s">
        <v>27</v>
      </c>
      <c r="E28">
        <v>19.3671062792728</v>
      </c>
      <c r="F28">
        <v>-99.075784605065394</v>
      </c>
    </row>
    <row r="29" spans="1:6" x14ac:dyDescent="0.3">
      <c r="A29" t="str">
        <f>_xlfn.CONCAT(Directorio[[#This Row],[C (Cliente)]]," ",Directorio[[#This Row],[D (Ciudad)]])</f>
        <v>Grupo Modelo San Luis Potosí</v>
      </c>
      <c r="B29" t="s">
        <v>7</v>
      </c>
      <c r="C29" t="s">
        <v>8</v>
      </c>
      <c r="D29" t="s">
        <v>9</v>
      </c>
      <c r="E29">
        <v>22.126325347362599</v>
      </c>
      <c r="F29">
        <v>-100.91753473788501</v>
      </c>
    </row>
    <row r="30" spans="1:6" x14ac:dyDescent="0.3">
      <c r="A30" t="str">
        <f>_xlfn.CONCAT(Directorio[[#This Row],[C (Cliente)]]," ",Directorio[[#This Row],[D (Ciudad)]])</f>
        <v>Guardia Nacional Ecatepec</v>
      </c>
      <c r="B30" t="s">
        <v>10</v>
      </c>
      <c r="C30" t="s">
        <v>34</v>
      </c>
      <c r="D30" t="s">
        <v>102</v>
      </c>
      <c r="E30" t="s">
        <v>102</v>
      </c>
      <c r="F30" t="s">
        <v>102</v>
      </c>
    </row>
    <row r="31" spans="1:6" x14ac:dyDescent="0.3">
      <c r="A31" t="str">
        <f>_xlfn.CONCAT(Directorio[[#This Row],[C (Cliente)]]," ",Directorio[[#This Row],[D (Ciudad)]])</f>
        <v>Guardia Nacional Guadalajara</v>
      </c>
      <c r="B31" t="s">
        <v>10</v>
      </c>
      <c r="C31" t="s">
        <v>12</v>
      </c>
      <c r="D31" t="s">
        <v>102</v>
      </c>
      <c r="E31" t="s">
        <v>102</v>
      </c>
      <c r="F31" t="s">
        <v>102</v>
      </c>
    </row>
    <row r="32" spans="1:6" x14ac:dyDescent="0.3">
      <c r="A32" t="str">
        <f>_xlfn.CONCAT(Directorio[[#This Row],[C (Cliente)]]," ",Directorio[[#This Row],[D (Ciudad)]])</f>
        <v>Guardia Nacional Iztapalapa</v>
      </c>
      <c r="B32" t="s">
        <v>10</v>
      </c>
      <c r="C32" t="s">
        <v>26</v>
      </c>
      <c r="D32" t="s">
        <v>87</v>
      </c>
      <c r="E32">
        <v>19.370978498078699</v>
      </c>
      <c r="F32">
        <v>-99.058308106834403</v>
      </c>
    </row>
    <row r="33" spans="1:6" x14ac:dyDescent="0.3">
      <c r="A33" t="str">
        <f>_xlfn.CONCAT(Directorio[[#This Row],[C (Cliente)]]," ",Directorio[[#This Row],[D (Ciudad)]])</f>
        <v>Guardia Nacional Orizaba</v>
      </c>
      <c r="B33" t="s">
        <v>10</v>
      </c>
      <c r="C33" t="s">
        <v>46</v>
      </c>
      <c r="D33" t="s">
        <v>102</v>
      </c>
      <c r="E33" t="s">
        <v>102</v>
      </c>
      <c r="F33" t="s">
        <v>102</v>
      </c>
    </row>
    <row r="34" spans="1:6" x14ac:dyDescent="0.3">
      <c r="A34" t="str">
        <f>_xlfn.CONCAT(Directorio[[#This Row],[C (Cliente)]]," ",Directorio[[#This Row],[D (Ciudad)]])</f>
        <v>Guardia Nacional San Luis Potosí</v>
      </c>
      <c r="B34" t="s">
        <v>10</v>
      </c>
      <c r="C34" t="s">
        <v>8</v>
      </c>
      <c r="D34" t="s">
        <v>98</v>
      </c>
      <c r="E34">
        <v>22.188501768332198</v>
      </c>
      <c r="F34">
        <v>-100.981076940207</v>
      </c>
    </row>
    <row r="35" spans="1:6" x14ac:dyDescent="0.3">
      <c r="A35" t="str">
        <f>_xlfn.CONCAT(Directorio[[#This Row],[C (Cliente)]]," ",Directorio[[#This Row],[D (Ciudad)]])</f>
        <v>HESA Orizaba</v>
      </c>
      <c r="B35" t="s">
        <v>45</v>
      </c>
      <c r="C35" t="s">
        <v>46</v>
      </c>
      <c r="D35" t="s">
        <v>100</v>
      </c>
      <c r="E35">
        <v>18.869328061649401</v>
      </c>
      <c r="F35">
        <v>-97.051392433621999</v>
      </c>
    </row>
    <row r="36" spans="1:6" x14ac:dyDescent="0.3">
      <c r="A36" t="str">
        <f>_xlfn.CONCAT(Directorio[[#This Row],[C (Cliente)]]," ",Directorio[[#This Row],[D (Ciudad)]])</f>
        <v>IMT Galindo</v>
      </c>
      <c r="B36" t="s">
        <v>55</v>
      </c>
      <c r="C36" t="s">
        <v>53</v>
      </c>
      <c r="D36" t="s">
        <v>56</v>
      </c>
      <c r="E36">
        <v>20.491784564515999</v>
      </c>
      <c r="F36">
        <v>-100.211671436274</v>
      </c>
    </row>
    <row r="37" spans="1:6" x14ac:dyDescent="0.3">
      <c r="A37" t="str">
        <f>_xlfn.CONCAT(Directorio[[#This Row],[C (Cliente)]]," ",Directorio[[#This Row],[D (Ciudad)]])</f>
        <v>Jarritos Puebla</v>
      </c>
      <c r="B37" t="s">
        <v>57</v>
      </c>
      <c r="C37" t="s">
        <v>61</v>
      </c>
      <c r="D37" t="s">
        <v>88</v>
      </c>
      <c r="E37">
        <v>19.218633608066199</v>
      </c>
      <c r="F37">
        <v>-98.408213672219006</v>
      </c>
    </row>
    <row r="38" spans="1:6" x14ac:dyDescent="0.3">
      <c r="A38" t="str">
        <f>_xlfn.CONCAT(Directorio[[#This Row],[C (Cliente)]]," ",Directorio[[#This Row],[D (Ciudad)]])</f>
        <v>Jarritos Tultitlan</v>
      </c>
      <c r="B38" t="s">
        <v>57</v>
      </c>
      <c r="C38" t="s">
        <v>58</v>
      </c>
      <c r="D38" t="s">
        <v>59</v>
      </c>
      <c r="E38">
        <v>19.6366170850015</v>
      </c>
      <c r="F38">
        <v>-99.164645635278802</v>
      </c>
    </row>
    <row r="39" spans="1:6" x14ac:dyDescent="0.3">
      <c r="A39" t="str">
        <f>_xlfn.CONCAT(Directorio[[#This Row],[C (Cliente)]]," ",Directorio[[#This Row],[D (Ciudad)]])</f>
        <v>La Costeña Ecatepec</v>
      </c>
      <c r="B39" t="s">
        <v>85</v>
      </c>
      <c r="C39" t="s">
        <v>34</v>
      </c>
      <c r="D39" t="s">
        <v>86</v>
      </c>
      <c r="E39">
        <v>19.563349824022801</v>
      </c>
      <c r="F39">
        <v>-99.043461191276606</v>
      </c>
    </row>
    <row r="40" spans="1:6" x14ac:dyDescent="0.3">
      <c r="A40" t="str">
        <f>_xlfn.CONCAT(Directorio[[#This Row],[C (Cliente)]]," ",Directorio[[#This Row],[D (Ciudad)]])</f>
        <v>Lala Irapuato</v>
      </c>
      <c r="B40" t="s">
        <v>103</v>
      </c>
      <c r="C40" t="s">
        <v>104</v>
      </c>
      <c r="D40" t="s">
        <v>110</v>
      </c>
      <c r="E40">
        <v>20.628893472911301</v>
      </c>
      <c r="F40">
        <v>-101.292065073294</v>
      </c>
    </row>
    <row r="41" spans="1:6" x14ac:dyDescent="0.3">
      <c r="A41" t="str">
        <f>_xlfn.CONCAT(Directorio[[#This Row],[C (Cliente)]]," ",Directorio[[#This Row],[D (Ciudad)]])</f>
        <v>Montellano Córdoba</v>
      </c>
      <c r="B41" t="s">
        <v>82</v>
      </c>
      <c r="C41" t="s">
        <v>83</v>
      </c>
      <c r="D41" t="s">
        <v>84</v>
      </c>
      <c r="E41">
        <v>18.9035099354514</v>
      </c>
      <c r="F41">
        <v>-96.981660102936104</v>
      </c>
    </row>
    <row r="42" spans="1:6" x14ac:dyDescent="0.3">
      <c r="A42" t="str">
        <f>_xlfn.CONCAT(Directorio[[#This Row],[C (Cliente)]]," ",Directorio[[#This Row],[D (Ciudad)]])</f>
        <v>Paquetexpress Guadalajara</v>
      </c>
      <c r="B42" t="s">
        <v>20</v>
      </c>
      <c r="C42" t="s">
        <v>12</v>
      </c>
      <c r="D42" t="s">
        <v>21</v>
      </c>
      <c r="E42">
        <v>20.584308233274299</v>
      </c>
      <c r="F42">
        <v>-103.36278750461</v>
      </c>
    </row>
    <row r="43" spans="1:6" x14ac:dyDescent="0.3">
      <c r="A43" t="str">
        <f>_xlfn.CONCAT(Directorio[[#This Row],[C (Cliente)]]," ",Directorio[[#This Row],[D (Ciudad)]])</f>
        <v>PepsiCo Azcapotzalco</v>
      </c>
      <c r="B43" t="s">
        <v>30</v>
      </c>
      <c r="C43" t="s">
        <v>28</v>
      </c>
      <c r="D43" t="s">
        <v>31</v>
      </c>
      <c r="E43">
        <v>19.500773345961498</v>
      </c>
      <c r="F43">
        <v>-99.191443475257302</v>
      </c>
    </row>
    <row r="44" spans="1:6" x14ac:dyDescent="0.3">
      <c r="A44" t="str">
        <f>_xlfn.CONCAT(Directorio[[#This Row],[C (Cliente)]]," ",Directorio[[#This Row],[D (Ciudad)]])</f>
        <v>PepsiCo Mérida</v>
      </c>
      <c r="B44" t="s">
        <v>30</v>
      </c>
      <c r="C44" t="s">
        <v>43</v>
      </c>
      <c r="D44" t="s">
        <v>44</v>
      </c>
      <c r="E44">
        <v>20.921929107127202</v>
      </c>
      <c r="F44">
        <v>-89.699951702809997</v>
      </c>
    </row>
    <row r="45" spans="1:6" x14ac:dyDescent="0.3">
      <c r="A45" t="str">
        <f>_xlfn.CONCAT(Directorio[[#This Row],[C (Cliente)]]," ",Directorio[[#This Row],[D (Ciudad)]])</f>
        <v>Pilot Guadalajara</v>
      </c>
      <c r="B45" t="s">
        <v>16</v>
      </c>
      <c r="C45" t="s">
        <v>12</v>
      </c>
      <c r="D45" t="s">
        <v>17</v>
      </c>
      <c r="E45">
        <v>20.602177218828899</v>
      </c>
      <c r="F45">
        <v>-103.30689456578899</v>
      </c>
    </row>
    <row r="46" spans="1:6" x14ac:dyDescent="0.3">
      <c r="A46" t="str">
        <f>_xlfn.CONCAT(Directorio[[#This Row],[C (Cliente)]]," ",Directorio[[#This Row],[D (Ciudad)]])</f>
        <v>Romedu Matamoros</v>
      </c>
      <c r="B46" t="s">
        <v>64</v>
      </c>
      <c r="C46" t="s">
        <v>65</v>
      </c>
      <c r="D46" t="s">
        <v>66</v>
      </c>
      <c r="E46">
        <v>25.837382365842299</v>
      </c>
      <c r="F46">
        <v>-97.424030815051196</v>
      </c>
    </row>
    <row r="47" spans="1:6" x14ac:dyDescent="0.3">
      <c r="A47" t="str">
        <f>_xlfn.CONCAT(Directorio[[#This Row],[C (Cliente)]]," ",Directorio[[#This Row],[D (Ciudad)]])</f>
        <v>Sigma Guadalajara</v>
      </c>
      <c r="B47" t="s">
        <v>3</v>
      </c>
      <c r="C47" t="s">
        <v>12</v>
      </c>
      <c r="D47" t="s">
        <v>67</v>
      </c>
      <c r="E47">
        <v>20.493493294032799</v>
      </c>
      <c r="F47">
        <v>-103.261603620983</v>
      </c>
    </row>
    <row r="48" spans="1:6" x14ac:dyDescent="0.3">
      <c r="A48" t="str">
        <f>_xlfn.CONCAT(Directorio[[#This Row],[C (Cliente)]]," ",Directorio[[#This Row],[D (Ciudad)]])</f>
        <v>Sigma Monterrey</v>
      </c>
      <c r="B48" t="s">
        <v>3</v>
      </c>
      <c r="C48" t="s">
        <v>1</v>
      </c>
      <c r="D48" t="s">
        <v>4</v>
      </c>
      <c r="E48">
        <v>25.746431233466399</v>
      </c>
      <c r="F48">
        <v>-100.115220691098</v>
      </c>
    </row>
    <row r="49" spans="1:6" x14ac:dyDescent="0.3">
      <c r="A49" t="str">
        <f>_xlfn.CONCAT(Directorio[[#This Row],[C (Cliente)]]," ",Directorio[[#This Row],[D (Ciudad)]])</f>
        <v>Sigma Tepotzotlán</v>
      </c>
      <c r="B49" t="s">
        <v>3</v>
      </c>
      <c r="C49" t="s">
        <v>24</v>
      </c>
      <c r="D49" t="s">
        <v>75</v>
      </c>
      <c r="E49">
        <v>19.708160108808801</v>
      </c>
      <c r="F49">
        <v>-99.217776878897595</v>
      </c>
    </row>
    <row r="50" spans="1:6" x14ac:dyDescent="0.3">
      <c r="A50" t="str">
        <f>_xlfn.CONCAT(Directorio[[#This Row],[C (Cliente)]]," ",Directorio[[#This Row],[D (Ciudad)]])</f>
        <v>TIUSA Orizaba</v>
      </c>
      <c r="B50" t="s">
        <v>80</v>
      </c>
      <c r="C50" t="s">
        <v>46</v>
      </c>
      <c r="D50" t="s">
        <v>81</v>
      </c>
      <c r="E50">
        <v>18.832324308789602</v>
      </c>
      <c r="F50">
        <v>-97.105547789444699</v>
      </c>
    </row>
    <row r="51" spans="1:6" x14ac:dyDescent="0.3">
      <c r="A51" t="str">
        <f>_xlfn.CONCAT(Directorio[[#This Row],[C (Cliente)]]," ",Directorio[[#This Row],[D (Ciudad)]])</f>
        <v>Transcooler Tultitlan</v>
      </c>
      <c r="B51" t="s">
        <v>108</v>
      </c>
      <c r="C51" t="s">
        <v>58</v>
      </c>
      <c r="D51" t="s">
        <v>109</v>
      </c>
      <c r="E51">
        <v>19.618247696356999</v>
      </c>
      <c r="F51">
        <v>-99.167147200025497</v>
      </c>
    </row>
    <row r="52" spans="1:6" x14ac:dyDescent="0.3">
      <c r="A52" t="str">
        <f>_xlfn.CONCAT(Directorio[[#This Row],[C (Cliente)]]," ",Directorio[[#This Row],[D (Ciudad)]])</f>
        <v>Zapata Querétaro</v>
      </c>
      <c r="B52" t="s">
        <v>50</v>
      </c>
      <c r="C52" t="s">
        <v>48</v>
      </c>
      <c r="D52" t="s">
        <v>51</v>
      </c>
      <c r="E52">
        <v>20.617788264198001</v>
      </c>
      <c r="F52">
        <v>-100.402536647071</v>
      </c>
    </row>
    <row r="53" spans="1:6" x14ac:dyDescent="0.3">
      <c r="A53" t="str">
        <f>_xlfn.CONCAT(Directorio[[#This Row],[C (Cliente)]]," ",Directorio[[#This Row],[D (Ciudad)]])</f>
        <v>Zonte Tequisistlán</v>
      </c>
      <c r="B53" t="s">
        <v>68</v>
      </c>
      <c r="C53" t="s">
        <v>69</v>
      </c>
      <c r="D53" t="s">
        <v>70</v>
      </c>
      <c r="E53">
        <v>19.609487325453902</v>
      </c>
      <c r="F53">
        <v>-98.946322079826402</v>
      </c>
    </row>
    <row r="54" spans="1:6" x14ac:dyDescent="0.3">
      <c r="A54" t="str">
        <f>_xlfn.CONCAT(Directorio[[#This Row],[C (Cliente)]]," ",Directorio[[#This Row],[D (Ciudad)]])</f>
        <v>GEPP Morelia</v>
      </c>
      <c r="B54" t="s">
        <v>105</v>
      </c>
      <c r="C54" t="s">
        <v>113</v>
      </c>
      <c r="D54" t="s">
        <v>114</v>
      </c>
      <c r="E54">
        <v>19.6761386647146</v>
      </c>
      <c r="F54">
        <v>-101.229171199999</v>
      </c>
    </row>
    <row r="55" spans="1:6" x14ac:dyDescent="0.3">
      <c r="A55" t="str">
        <f>_xlfn.CONCAT(Directorio[[#This Row],[C (Cliente)]]," ",Directorio[[#This Row],[D (Ciudad)]])</f>
        <v>GEPP Monterrey</v>
      </c>
      <c r="B55" t="s">
        <v>105</v>
      </c>
      <c r="C55" t="s">
        <v>1</v>
      </c>
      <c r="D55" t="s">
        <v>115</v>
      </c>
      <c r="E55">
        <v>25.7717307416289</v>
      </c>
      <c r="F55">
        <v>-100.169042691499</v>
      </c>
    </row>
    <row r="56" spans="1:6" x14ac:dyDescent="0.3">
      <c r="A56" t="str">
        <f>_xlfn.CONCAT(Directorio[[#This Row],[C (Cliente)]]," ",Directorio[[#This Row],[D (Ciudad)]])</f>
        <v>GEPP Guadalajara</v>
      </c>
      <c r="B56" t="s">
        <v>105</v>
      </c>
      <c r="C56" t="s">
        <v>12</v>
      </c>
      <c r="D56" t="s">
        <v>116</v>
      </c>
      <c r="E56">
        <v>20.434471558363601</v>
      </c>
      <c r="F56">
        <v>-103.24131761338801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Reservas</vt:lpstr>
      <vt:lpstr>Directorio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Alberto Agraz Martínez</dc:creator>
  <cp:lastModifiedBy>Mario Alberto Agraz Martínez</cp:lastModifiedBy>
  <dcterms:created xsi:type="dcterms:W3CDTF">2025-12-28T22:17:28Z</dcterms:created>
  <dcterms:modified xsi:type="dcterms:W3CDTF">2026-06-19T23:33:00Z</dcterms:modified>
</cp:coreProperties>
</file>